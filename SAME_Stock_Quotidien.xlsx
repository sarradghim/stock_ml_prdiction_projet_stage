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newton_week_to_day\"/>
    </mc:Choice>
  </mc:AlternateContent>
  <xr:revisionPtr revIDLastSave="0" documentId="13_ncr:1_{E1836D0E-A1D8-47EC-86BD-4C862486EE5C}" xr6:coauthVersionLast="47" xr6:coauthVersionMax="47" xr10:uidLastSave="{00000000-0000-0000-0000-000000000000}"/>
  <bookViews>
    <workbookView xWindow="384" yWindow="384" windowWidth="13080" windowHeight="9960" firstSheet="1" activeTab="4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48" i="1" l="1"/>
  <c r="Q48" i="1"/>
  <c r="P48" i="1"/>
  <c r="O48" i="1"/>
  <c r="M48" i="1"/>
  <c r="L48" i="1"/>
  <c r="K48" i="1"/>
  <c r="J48" i="1"/>
  <c r="H48" i="1"/>
  <c r="G48" i="1"/>
  <c r="F48" i="1"/>
  <c r="E48" i="1"/>
</calcChain>
</file>

<file path=xl/sharedStrings.xml><?xml version="1.0" encoding="utf-8"?>
<sst xmlns="http://schemas.openxmlformats.org/spreadsheetml/2006/main" count="1187" uniqueCount="134">
  <si>
    <t>SAME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</si>
  <si>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</si>
  <si>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</si>
  <si>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</si>
  <si>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</si>
  <si>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</si>
  <si>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</si>
  <si>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</si>
  <si>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</si>
  <si>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</si>
  <si>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</si>
  <si>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</si>
  <si>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</si>
  <si>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A60110471</t>
  </si>
  <si>
    <t>Ferrite Flex</t>
  </si>
  <si>
    <t>Shanghai Sunrise</t>
  </si>
  <si>
    <t>Sur-stock critique</t>
  </si>
  <si>
    <t>A60110472</t>
  </si>
  <si>
    <t>Ferrite vm4</t>
  </si>
  <si>
    <t>A60110473</t>
  </si>
  <si>
    <t>Ferrite Gen2</t>
  </si>
  <si>
    <t>A60110763</t>
  </si>
  <si>
    <t>Ferrite 703</t>
  </si>
  <si>
    <t>A60110767</t>
  </si>
  <si>
    <t>Ferrite 408</t>
  </si>
  <si>
    <t>A60110466</t>
  </si>
  <si>
    <t>Ferrite MNG2</t>
  </si>
  <si>
    <t>A60101746</t>
  </si>
  <si>
    <t>Ferrite CM4</t>
  </si>
  <si>
    <t>A60101745</t>
  </si>
  <si>
    <t>Ferrite CM3</t>
  </si>
  <si>
    <t>A60101946</t>
  </si>
  <si>
    <t>Ferrite DCK</t>
  </si>
  <si>
    <t>A60101955</t>
  </si>
  <si>
    <t>Ferrite S-platform</t>
  </si>
  <si>
    <t>A11430001</t>
  </si>
  <si>
    <t>Ferrite 444/445</t>
  </si>
  <si>
    <t>A60110475</t>
  </si>
  <si>
    <t>Ferrite Ducato</t>
  </si>
  <si>
    <t>A12030002</t>
  </si>
  <si>
    <t>Ferrite CEBI B062</t>
  </si>
  <si>
    <t>A12030003</t>
  </si>
  <si>
    <t>Ferrite CEBI B3110</t>
  </si>
  <si>
    <t>A12030031</t>
  </si>
  <si>
    <t>Ferrite CEBI B30270-B3028</t>
  </si>
  <si>
    <t>A12030052</t>
  </si>
  <si>
    <t>Ferrite Denso</t>
  </si>
  <si>
    <t>A60110759</t>
  </si>
  <si>
    <t>Ferrite PB</t>
  </si>
  <si>
    <t>A60110768</t>
  </si>
  <si>
    <t>Ferrite 878</t>
  </si>
  <si>
    <t>A60100099</t>
  </si>
  <si>
    <t>Ferrite ROD choke</t>
  </si>
  <si>
    <t>Rotation trop rapide</t>
  </si>
  <si>
    <t>A60100106</t>
  </si>
  <si>
    <t>Ferrite Shuke CMC</t>
  </si>
  <si>
    <t>A60100139</t>
  </si>
  <si>
    <t>Base CMC</t>
  </si>
  <si>
    <t>A60100141</t>
  </si>
  <si>
    <t>Plastic -cover</t>
  </si>
  <si>
    <t>Plasteel</t>
  </si>
  <si>
    <t>A60100147</t>
  </si>
  <si>
    <t>Ferrite Denso 7020</t>
  </si>
  <si>
    <t>A60100091</t>
  </si>
  <si>
    <t>Ferrite Doga 05</t>
  </si>
  <si>
    <t>A60100092</t>
  </si>
  <si>
    <t>Ferrite Doga 06</t>
  </si>
  <si>
    <t>A60110470</t>
  </si>
  <si>
    <t>wire 1.18 mm</t>
  </si>
  <si>
    <t>Ederfil Becker</t>
  </si>
  <si>
    <t>A60110829</t>
  </si>
  <si>
    <t>Ferrite EVP2</t>
  </si>
  <si>
    <t>A60110469</t>
  </si>
  <si>
    <t>wire 0.63 mm</t>
  </si>
  <si>
    <t>A60110468</t>
  </si>
  <si>
    <t>wire 1.7mm</t>
  </si>
  <si>
    <t>A60110465</t>
  </si>
  <si>
    <t>wire 0.85 mm</t>
  </si>
  <si>
    <t>A60101945</t>
  </si>
  <si>
    <t>wire 0.8mm</t>
  </si>
  <si>
    <t>A60101491</t>
  </si>
  <si>
    <t>wire 0.71mm</t>
  </si>
  <si>
    <t>A60101248</t>
  </si>
  <si>
    <t>wire 1.32mm</t>
  </si>
  <si>
    <t>A60101493</t>
  </si>
  <si>
    <t>wire 1mm</t>
  </si>
  <si>
    <t>A60101494</t>
  </si>
  <si>
    <t>wire 0.95mm</t>
  </si>
  <si>
    <t>A60110479</t>
  </si>
  <si>
    <t>wire 1.4mm</t>
  </si>
  <si>
    <t>A60100146</t>
  </si>
  <si>
    <t>wire 1.6mm</t>
  </si>
  <si>
    <t>A60101495</t>
  </si>
  <si>
    <t>wire 0.9mm</t>
  </si>
  <si>
    <t>A60101072</t>
  </si>
  <si>
    <t>wire 0.72mm</t>
  </si>
  <si>
    <t>A60110761</t>
  </si>
  <si>
    <t>wire 2mm</t>
  </si>
  <si>
    <t>A60100095</t>
  </si>
  <si>
    <t>wire 1.8mm</t>
  </si>
  <si>
    <t>Acebsa</t>
  </si>
  <si>
    <t>A60100098</t>
  </si>
  <si>
    <t>wire 1.18 mm solderable</t>
  </si>
  <si>
    <t>A60100097</t>
  </si>
  <si>
    <t>wire 2mm G1</t>
  </si>
  <si>
    <t>A60101941</t>
  </si>
  <si>
    <t>wire 0.8mm shunt dck</t>
  </si>
  <si>
    <t>Aerumtec</t>
  </si>
  <si>
    <t>TOTAL / MOYENNE</t>
  </si>
  <si>
    <t>-</t>
  </si>
  <si>
    <t>SAME — Week 1 | Stock Quotidien Newton | Anomalies Metier</t>
  </si>
  <si>
    <t>Unit Price (€)</t>
  </si>
  <si>
    <t>Resume S1</t>
  </si>
  <si>
    <t>Anomalies Metier</t>
  </si>
  <si>
    <t>Usage Hebdo</t>
  </si>
  <si>
    <t>Cible</t>
  </si>
  <si>
    <t>Type</t>
  </si>
  <si>
    <t>Inv. Neg</t>
  </si>
  <si>
    <t>Rupture</t>
  </si>
  <si>
    <t>Rotation rapide</t>
  </si>
  <si>
    <t>Sous-stock</t>
  </si>
  <si>
    <t>Sur-stock</t>
  </si>
  <si>
    <t>Total Anom.</t>
  </si>
  <si>
    <t>Avant</t>
  </si>
  <si>
    <t>Apres</t>
  </si>
  <si>
    <t>Valeur</t>
  </si>
  <si>
    <t>Perturb%</t>
  </si>
  <si>
    <t>SAME — Week 2 | Stock Quotidien Newton | Anomalies Metier</t>
  </si>
  <si>
    <t>Resume S2</t>
  </si>
  <si>
    <t>SAME — Week 3 | Stock Quotidien Newton | Anomalies Metier</t>
  </si>
  <si>
    <t>Resume S3</t>
  </si>
  <si>
    <t>SAME — Week 4 | Stock Quotidien Newton | Anomalies Metier</t>
  </si>
  <si>
    <t>Resume S4</t>
  </si>
  <si>
    <t>Rupture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</si>
</sst>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9C6500"/>
      <name val="Arial"/>
    </font>
    <font>
      <b/>
      <sz val="9"/>
      <color rgb="FF17375E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  <font>
      <b/>
      <sz val="9"/>
      <color rgb="FFC00000"/>
      <name val="Arial"/>
    </font>
  </fonts>
  <fills count="2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DFEFE"/>
      </patternFill>
    </fill>
    <fill>
      <patternFill patternType="solid">
        <fgColor rgb="FFBDD7EE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right" vertical="center"/>
    </xf>
    <xf numFmtId="4" fontId="3" fillId="9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2" fontId="2" fillId="11" borderId="1" xfId="0" applyNumberFormat="1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10" fillId="25" borderId="1" xfId="0" applyFont="1" applyFill="1" applyBorder="1" applyAlignment="1">
      <alignment horizontal="left" vertical="center"/>
    </xf>
    <xf numFmtId="0" fontId="3" fillId="2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5" fontId="9" fillId="19" borderId="2" xfId="0" applyNumberFormat="1" applyFont="1" applyFill="1" applyBorder="1" applyAlignment="1">
      <alignment horizontal="center" vertical="center"/>
    </xf>
    <xf numFmtId="165" fontId="9" fillId="19" borderId="3" xfId="0" applyNumberFormat="1" applyFont="1" applyFill="1" applyBorder="1" applyAlignment="1">
      <alignment horizontal="center" vertical="center"/>
    </xf>
    <xf numFmtId="165" fontId="9" fillId="19" borderId="4" xfId="0" applyNumberFormat="1" applyFont="1" applyFill="1" applyBorder="1" applyAlignment="1">
      <alignment horizontal="center" vertical="center"/>
    </xf>
    <xf numFmtId="165" fontId="9" fillId="20" borderId="2" xfId="0" applyNumberFormat="1" applyFont="1" applyFill="1" applyBorder="1" applyAlignment="1">
      <alignment horizontal="center" vertical="center"/>
    </xf>
    <xf numFmtId="165" fontId="9" fillId="20" borderId="3" xfId="0" applyNumberFormat="1" applyFont="1" applyFill="1" applyBorder="1" applyAlignment="1">
      <alignment horizontal="center" vertical="center"/>
    </xf>
    <xf numFmtId="165" fontId="9" fillId="20" borderId="4" xfId="0" applyNumberFormat="1" applyFont="1" applyFill="1" applyBorder="1" applyAlignment="1">
      <alignment horizontal="center" vertical="center"/>
    </xf>
    <xf numFmtId="165" fontId="9" fillId="23" borderId="2" xfId="0" applyNumberFormat="1" applyFont="1" applyFill="1" applyBorder="1" applyAlignment="1">
      <alignment horizontal="center" vertical="center"/>
    </xf>
    <xf numFmtId="165" fontId="9" fillId="23" borderId="3" xfId="0" applyNumberFormat="1" applyFont="1" applyFill="1" applyBorder="1" applyAlignment="1">
      <alignment horizontal="center" vertical="center"/>
    </xf>
    <xf numFmtId="165" fontId="9" fillId="23" borderId="4" xfId="0" applyNumberFormat="1" applyFont="1" applyFill="1" applyBorder="1" applyAlignment="1">
      <alignment horizontal="center" vertical="center"/>
    </xf>
    <xf numFmtId="165" fontId="9" fillId="21" borderId="2" xfId="0" applyNumberFormat="1" applyFont="1" applyFill="1" applyBorder="1" applyAlignment="1">
      <alignment horizontal="center" vertical="center"/>
    </xf>
    <xf numFmtId="165" fontId="9" fillId="21" borderId="3" xfId="0" applyNumberFormat="1" applyFont="1" applyFill="1" applyBorder="1" applyAlignment="1">
      <alignment horizontal="center" vertical="center"/>
    </xf>
    <xf numFmtId="165" fontId="9" fillId="21" borderId="4" xfId="0" applyNumberFormat="1" applyFont="1" applyFill="1" applyBorder="1" applyAlignment="1">
      <alignment horizontal="center" vertical="center"/>
    </xf>
    <xf numFmtId="165" fontId="9" fillId="10" borderId="2" xfId="0" applyNumberFormat="1" applyFont="1" applyFill="1" applyBorder="1" applyAlignment="1">
      <alignment horizontal="center" vertical="center"/>
    </xf>
    <xf numFmtId="165" fontId="9" fillId="10" borderId="3" xfId="0" applyNumberFormat="1" applyFont="1" applyFill="1" applyBorder="1" applyAlignment="1">
      <alignment horizontal="center" vertical="center"/>
    </xf>
    <xf numFmtId="165" fontId="9" fillId="10" borderId="4" xfId="0" applyNumberFormat="1" applyFont="1" applyFill="1" applyBorder="1" applyAlignment="1">
      <alignment horizontal="center" vertical="center"/>
    </xf>
    <xf numFmtId="165" fontId="9" fillId="22" borderId="2" xfId="0" applyNumberFormat="1" applyFont="1" applyFill="1" applyBorder="1" applyAlignment="1">
      <alignment horizontal="center" vertical="center"/>
    </xf>
    <xf numFmtId="165" fontId="9" fillId="22" borderId="3" xfId="0" applyNumberFormat="1" applyFont="1" applyFill="1" applyBorder="1" applyAlignment="1">
      <alignment horizontal="center" vertical="center"/>
    </xf>
    <xf numFmtId="165" fontId="9" fillId="22" borderId="4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65" fontId="9" fillId="24" borderId="2" xfId="0" applyNumberFormat="1" applyFont="1" applyFill="1" applyBorder="1" applyAlignment="1">
      <alignment horizontal="center" vertical="center"/>
    </xf>
    <xf numFmtId="165" fontId="9" fillId="24" borderId="3" xfId="0" applyNumberFormat="1" applyFont="1" applyFill="1" applyBorder="1" applyAlignment="1">
      <alignment horizontal="center" vertical="center"/>
    </xf>
    <xf numFmtId="165" fontId="9" fillId="24" borderId="4" xfId="0" applyNumberFormat="1" applyFont="1" applyFill="1" applyBorder="1" applyAlignment="1">
      <alignment horizontal="center" vertical="center"/>
    </xf>
    <xf numFmtId="165" fontId="7" fillId="21" borderId="2" xfId="0" applyNumberFormat="1" applyFont="1" applyFill="1" applyBorder="1" applyAlignment="1">
      <alignment horizontal="center" vertical="center"/>
    </xf>
    <xf numFmtId="165" fontId="7" fillId="21" borderId="3" xfId="0" applyNumberFormat="1" applyFont="1" applyFill="1" applyBorder="1" applyAlignment="1">
      <alignment horizontal="center" vertical="center"/>
    </xf>
    <xf numFmtId="165" fontId="7" fillId="21" borderId="4" xfId="0" applyNumberFormat="1" applyFont="1" applyFill="1" applyBorder="1" applyAlignment="1">
      <alignment horizontal="center" vertical="center"/>
    </xf>
    <xf numFmtId="165" fontId="7" fillId="20" borderId="2" xfId="0" applyNumberFormat="1" applyFont="1" applyFill="1" applyBorder="1" applyAlignment="1">
      <alignment horizontal="center" vertical="center"/>
    </xf>
    <xf numFmtId="165" fontId="7" fillId="20" borderId="3" xfId="0" applyNumberFormat="1" applyFont="1" applyFill="1" applyBorder="1" applyAlignment="1">
      <alignment horizontal="center" vertical="center"/>
    </xf>
    <xf numFmtId="165" fontId="7" fillId="20" borderId="4" xfId="0" applyNumberFormat="1" applyFont="1" applyFill="1" applyBorder="1" applyAlignment="1">
      <alignment horizontal="center" vertical="center"/>
    </xf>
    <xf numFmtId="165" fontId="7" fillId="10" borderId="2" xfId="0" applyNumberFormat="1" applyFont="1" applyFill="1" applyBorder="1" applyAlignment="1">
      <alignment horizontal="center" vertical="center"/>
    </xf>
    <xf numFmtId="165" fontId="7" fillId="10" borderId="3" xfId="0" applyNumberFormat="1" applyFont="1" applyFill="1" applyBorder="1" applyAlignment="1">
      <alignment horizontal="center" vertical="center"/>
    </xf>
    <xf numFmtId="165" fontId="7" fillId="10" borderId="4" xfId="0" applyNumberFormat="1" applyFont="1" applyFill="1" applyBorder="1" applyAlignment="1">
      <alignment horizontal="center" vertical="center"/>
    </xf>
    <xf numFmtId="165" fontId="7" fillId="24" borderId="2" xfId="0" applyNumberFormat="1" applyFont="1" applyFill="1" applyBorder="1" applyAlignment="1">
      <alignment horizontal="center" vertical="center"/>
    </xf>
    <xf numFmtId="165" fontId="7" fillId="24" borderId="3" xfId="0" applyNumberFormat="1" applyFont="1" applyFill="1" applyBorder="1" applyAlignment="1">
      <alignment horizontal="center" vertical="center"/>
    </xf>
    <xf numFmtId="165" fontId="7" fillId="24" borderId="4" xfId="0" applyNumberFormat="1" applyFont="1" applyFill="1" applyBorder="1" applyAlignment="1">
      <alignment horizontal="center" vertical="center"/>
    </xf>
    <xf numFmtId="165" fontId="7" fillId="23" borderId="2" xfId="0" applyNumberFormat="1" applyFont="1" applyFill="1" applyBorder="1" applyAlignment="1">
      <alignment horizontal="center" vertical="center"/>
    </xf>
    <xf numFmtId="165" fontId="7" fillId="23" borderId="3" xfId="0" applyNumberFormat="1" applyFont="1" applyFill="1" applyBorder="1" applyAlignment="1">
      <alignment horizontal="center" vertical="center"/>
    </xf>
    <xf numFmtId="165" fontId="7" fillId="23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workbookViewId="0">
      <pane xSplit="4" ySplit="3" topLeftCell="E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34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18" customHeight="1" x14ac:dyDescent="0.3">
      <c r="A2" s="39" t="s">
        <v>1</v>
      </c>
      <c r="B2" s="39" t="s">
        <v>2</v>
      </c>
      <c r="C2" s="39" t="s">
        <v>3</v>
      </c>
      <c r="D2" s="39" t="s">
        <v>4</v>
      </c>
      <c r="E2" s="35" t="s">
        <v>5</v>
      </c>
      <c r="F2" s="36"/>
      <c r="G2" s="36"/>
      <c r="H2" s="36"/>
      <c r="I2" s="36"/>
      <c r="J2" s="37" t="s">
        <v>6</v>
      </c>
      <c r="K2" s="38"/>
      <c r="L2" s="38"/>
      <c r="M2" s="38"/>
      <c r="N2" s="38"/>
      <c r="O2" s="30" t="s">
        <v>7</v>
      </c>
      <c r="P2" s="31"/>
      <c r="Q2" s="31"/>
      <c r="R2" s="31"/>
      <c r="S2" s="31"/>
    </row>
    <row r="3" spans="1:19" ht="30" customHeight="1" x14ac:dyDescent="0.3">
      <c r="A3" s="40"/>
      <c r="B3" s="40"/>
      <c r="C3" s="40"/>
      <c r="D3" s="40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4554000</v>
      </c>
      <c r="F4" s="6">
        <v>0</v>
      </c>
      <c r="G4" s="6">
        <v>11840.4</v>
      </c>
      <c r="H4" s="7">
        <v>0</v>
      </c>
      <c r="I4" s="8" t="s">
        <v>16</v>
      </c>
      <c r="J4" s="6">
        <v>4554000</v>
      </c>
      <c r="K4" s="6">
        <v>0</v>
      </c>
      <c r="L4" s="6">
        <v>11840.4</v>
      </c>
      <c r="M4" s="7">
        <v>0</v>
      </c>
      <c r="N4" s="8" t="s">
        <v>16</v>
      </c>
      <c r="O4" s="6">
        <v>4554000</v>
      </c>
      <c r="P4" s="6">
        <v>2898000</v>
      </c>
      <c r="Q4" s="6">
        <v>11840.4</v>
      </c>
      <c r="R4" s="7">
        <v>0</v>
      </c>
      <c r="S4" s="8" t="s">
        <v>16</v>
      </c>
    </row>
    <row r="5" spans="1:19" x14ac:dyDescent="0.3">
      <c r="A5" s="9" t="s">
        <v>17</v>
      </c>
      <c r="B5" s="9" t="s">
        <v>18</v>
      </c>
      <c r="C5" s="9" t="s">
        <v>15</v>
      </c>
      <c r="D5" s="10">
        <v>0</v>
      </c>
      <c r="E5" s="11">
        <v>1068000</v>
      </c>
      <c r="F5" s="11">
        <v>0</v>
      </c>
      <c r="G5" s="11">
        <v>3738</v>
      </c>
      <c r="H5" s="7">
        <v>0</v>
      </c>
      <c r="I5" s="8" t="s">
        <v>16</v>
      </c>
      <c r="J5" s="11">
        <v>1068000</v>
      </c>
      <c r="K5" s="11">
        <v>0</v>
      </c>
      <c r="L5" s="11">
        <v>3738</v>
      </c>
      <c r="M5" s="7">
        <v>0</v>
      </c>
      <c r="N5" s="8" t="s">
        <v>16</v>
      </c>
      <c r="O5" s="11">
        <v>1068000</v>
      </c>
      <c r="P5" s="11">
        <v>860000</v>
      </c>
      <c r="Q5" s="11">
        <v>3738</v>
      </c>
      <c r="R5" s="7">
        <v>0</v>
      </c>
      <c r="S5" s="8" t="s">
        <v>16</v>
      </c>
    </row>
    <row r="6" spans="1:19" x14ac:dyDescent="0.3">
      <c r="A6" s="4" t="s">
        <v>19</v>
      </c>
      <c r="B6" s="4" t="s">
        <v>20</v>
      </c>
      <c r="C6" s="4" t="s">
        <v>15</v>
      </c>
      <c r="D6" s="5">
        <v>0.02</v>
      </c>
      <c r="E6" s="6">
        <v>2982000</v>
      </c>
      <c r="F6" s="6">
        <v>0</v>
      </c>
      <c r="G6" s="6">
        <v>59640</v>
      </c>
      <c r="H6" s="7">
        <v>0</v>
      </c>
      <c r="I6" s="8" t="s">
        <v>16</v>
      </c>
      <c r="J6" s="6">
        <v>2982000</v>
      </c>
      <c r="K6" s="6">
        <v>0</v>
      </c>
      <c r="L6" s="6">
        <v>47413.8</v>
      </c>
      <c r="M6" s="7">
        <v>0</v>
      </c>
      <c r="N6" s="8" t="s">
        <v>16</v>
      </c>
      <c r="O6" s="6">
        <v>2982000</v>
      </c>
      <c r="P6" s="6">
        <v>1692000</v>
      </c>
      <c r="Q6" s="6">
        <v>47413.8</v>
      </c>
      <c r="R6" s="7">
        <v>0</v>
      </c>
      <c r="S6" s="8" t="s">
        <v>16</v>
      </c>
    </row>
    <row r="7" spans="1:19" x14ac:dyDescent="0.3">
      <c r="A7" s="9" t="s">
        <v>21</v>
      </c>
      <c r="B7" s="9" t="s">
        <v>22</v>
      </c>
      <c r="C7" s="9" t="s">
        <v>15</v>
      </c>
      <c r="D7" s="10">
        <v>0.01</v>
      </c>
      <c r="E7" s="11">
        <v>458600</v>
      </c>
      <c r="F7" s="11">
        <v>0</v>
      </c>
      <c r="G7" s="11">
        <v>4586</v>
      </c>
      <c r="H7" s="7">
        <v>0</v>
      </c>
      <c r="I7" s="8" t="s">
        <v>16</v>
      </c>
      <c r="J7" s="11">
        <v>458600</v>
      </c>
      <c r="K7" s="11">
        <v>0</v>
      </c>
      <c r="L7" s="11">
        <v>3943.96</v>
      </c>
      <c r="M7" s="7">
        <v>0</v>
      </c>
      <c r="N7" s="8" t="s">
        <v>16</v>
      </c>
      <c r="O7" s="11">
        <v>458600</v>
      </c>
      <c r="P7" s="11">
        <v>78600</v>
      </c>
      <c r="Q7" s="11">
        <v>3943.96</v>
      </c>
      <c r="R7" s="7">
        <v>0</v>
      </c>
      <c r="S7" s="8" t="s">
        <v>16</v>
      </c>
    </row>
    <row r="8" spans="1:19" x14ac:dyDescent="0.3">
      <c r="A8" s="4" t="s">
        <v>23</v>
      </c>
      <c r="B8" s="4" t="s">
        <v>24</v>
      </c>
      <c r="C8" s="4" t="s">
        <v>15</v>
      </c>
      <c r="D8" s="5">
        <v>0.01</v>
      </c>
      <c r="E8" s="6">
        <v>332000</v>
      </c>
      <c r="F8" s="6">
        <v>0</v>
      </c>
      <c r="G8" s="6">
        <v>3320</v>
      </c>
      <c r="H8" s="7">
        <v>0</v>
      </c>
      <c r="I8" s="8" t="s">
        <v>16</v>
      </c>
      <c r="J8" s="6">
        <v>332000</v>
      </c>
      <c r="K8" s="6">
        <v>0</v>
      </c>
      <c r="L8" s="6">
        <v>2390.4</v>
      </c>
      <c r="M8" s="7">
        <v>0</v>
      </c>
      <c r="N8" s="8" t="s">
        <v>16</v>
      </c>
      <c r="O8" s="6">
        <v>332000</v>
      </c>
      <c r="P8" s="6">
        <v>156000</v>
      </c>
      <c r="Q8" s="6">
        <v>2390.4</v>
      </c>
      <c r="R8" s="7">
        <v>0</v>
      </c>
      <c r="S8" s="8" t="s">
        <v>16</v>
      </c>
    </row>
    <row r="9" spans="1:19" x14ac:dyDescent="0.3">
      <c r="A9" s="9" t="s">
        <v>25</v>
      </c>
      <c r="B9" s="9" t="s">
        <v>26</v>
      </c>
      <c r="C9" s="9" t="s">
        <v>15</v>
      </c>
      <c r="D9" s="10">
        <v>0.01</v>
      </c>
      <c r="E9" s="11">
        <v>1478000</v>
      </c>
      <c r="F9" s="11">
        <v>0</v>
      </c>
      <c r="G9" s="11">
        <v>14780</v>
      </c>
      <c r="H9" s="7">
        <v>0</v>
      </c>
      <c r="I9" s="8" t="s">
        <v>16</v>
      </c>
      <c r="J9" s="11">
        <v>1478000</v>
      </c>
      <c r="K9" s="11">
        <v>0</v>
      </c>
      <c r="L9" s="11">
        <v>11380.6</v>
      </c>
      <c r="M9" s="7">
        <v>0</v>
      </c>
      <c r="N9" s="8" t="s">
        <v>16</v>
      </c>
      <c r="O9" s="11">
        <v>1478000</v>
      </c>
      <c r="P9" s="11">
        <v>968000</v>
      </c>
      <c r="Q9" s="11">
        <v>11380.6</v>
      </c>
      <c r="R9" s="7">
        <v>0</v>
      </c>
      <c r="S9" s="8" t="s">
        <v>16</v>
      </c>
    </row>
    <row r="10" spans="1:19" x14ac:dyDescent="0.3">
      <c r="A10" s="4" t="s">
        <v>27</v>
      </c>
      <c r="B10" s="4" t="s">
        <v>28</v>
      </c>
      <c r="C10" s="4" t="s">
        <v>15</v>
      </c>
      <c r="D10" s="5">
        <v>0.01</v>
      </c>
      <c r="E10" s="6">
        <v>790000</v>
      </c>
      <c r="F10" s="6">
        <v>0</v>
      </c>
      <c r="G10" s="6">
        <v>7900</v>
      </c>
      <c r="H10" s="7">
        <v>0</v>
      </c>
      <c r="I10" s="8" t="s">
        <v>16</v>
      </c>
      <c r="J10" s="6">
        <v>790000</v>
      </c>
      <c r="K10" s="6">
        <v>0</v>
      </c>
      <c r="L10" s="6">
        <v>6478</v>
      </c>
      <c r="M10" s="7">
        <v>0</v>
      </c>
      <c r="N10" s="8" t="s">
        <v>16</v>
      </c>
      <c r="O10" s="6">
        <v>790000</v>
      </c>
      <c r="P10" s="6">
        <v>190000</v>
      </c>
      <c r="Q10" s="6">
        <v>6478</v>
      </c>
      <c r="R10" s="7">
        <v>0</v>
      </c>
      <c r="S10" s="8" t="s">
        <v>16</v>
      </c>
    </row>
    <row r="11" spans="1:19" x14ac:dyDescent="0.3">
      <c r="A11" s="9" t="s">
        <v>29</v>
      </c>
      <c r="B11" s="9" t="s">
        <v>30</v>
      </c>
      <c r="C11" s="9" t="s">
        <v>15</v>
      </c>
      <c r="D11" s="10">
        <v>0.01</v>
      </c>
      <c r="E11" s="11">
        <v>1180000</v>
      </c>
      <c r="F11" s="11">
        <v>0</v>
      </c>
      <c r="G11" s="11">
        <v>11800</v>
      </c>
      <c r="H11" s="7">
        <v>0</v>
      </c>
      <c r="I11" s="8" t="s">
        <v>16</v>
      </c>
      <c r="J11" s="11">
        <v>1180000</v>
      </c>
      <c r="K11" s="11">
        <v>0</v>
      </c>
      <c r="L11" s="11">
        <v>6844</v>
      </c>
      <c r="M11" s="7">
        <v>0</v>
      </c>
      <c r="N11" s="8" t="s">
        <v>16</v>
      </c>
      <c r="O11" s="11">
        <v>1180000</v>
      </c>
      <c r="P11" s="11">
        <v>1100000</v>
      </c>
      <c r="Q11" s="11">
        <v>6844</v>
      </c>
      <c r="R11" s="7">
        <v>0</v>
      </c>
      <c r="S11" s="8" t="s">
        <v>16</v>
      </c>
    </row>
    <row r="12" spans="1:19" x14ac:dyDescent="0.3">
      <c r="A12" s="4" t="s">
        <v>31</v>
      </c>
      <c r="B12" s="4" t="s">
        <v>32</v>
      </c>
      <c r="C12" s="4" t="s">
        <v>15</v>
      </c>
      <c r="D12" s="5">
        <v>0.01</v>
      </c>
      <c r="E12" s="6">
        <v>683200</v>
      </c>
      <c r="F12" s="6">
        <v>0</v>
      </c>
      <c r="G12" s="6">
        <v>6832</v>
      </c>
      <c r="H12" s="7">
        <v>0</v>
      </c>
      <c r="I12" s="8" t="s">
        <v>16</v>
      </c>
      <c r="J12" s="6">
        <v>683200</v>
      </c>
      <c r="K12" s="6">
        <v>0</v>
      </c>
      <c r="L12" s="6">
        <v>5260.64</v>
      </c>
      <c r="M12" s="7">
        <v>0</v>
      </c>
      <c r="N12" s="8" t="s">
        <v>16</v>
      </c>
      <c r="O12" s="6">
        <v>683200</v>
      </c>
      <c r="P12" s="6">
        <v>283200</v>
      </c>
      <c r="Q12" s="6">
        <v>5260.64</v>
      </c>
      <c r="R12" s="7">
        <v>0</v>
      </c>
      <c r="S12" s="8" t="s">
        <v>16</v>
      </c>
    </row>
    <row r="13" spans="1:19" x14ac:dyDescent="0.3">
      <c r="A13" s="9" t="s">
        <v>33</v>
      </c>
      <c r="B13" s="9" t="s">
        <v>34</v>
      </c>
      <c r="C13" s="9" t="s">
        <v>15</v>
      </c>
      <c r="D13" s="10">
        <v>0.01</v>
      </c>
      <c r="E13" s="11">
        <v>2045000</v>
      </c>
      <c r="F13" s="11">
        <v>0</v>
      </c>
      <c r="G13" s="11">
        <v>20450</v>
      </c>
      <c r="H13" s="7">
        <v>0</v>
      </c>
      <c r="I13" s="8" t="s">
        <v>16</v>
      </c>
      <c r="J13" s="11">
        <v>2045000</v>
      </c>
      <c r="K13" s="11">
        <v>0</v>
      </c>
      <c r="L13" s="11">
        <v>11247.5</v>
      </c>
      <c r="M13" s="7">
        <v>0</v>
      </c>
      <c r="N13" s="8" t="s">
        <v>16</v>
      </c>
      <c r="O13" s="11">
        <v>2045000</v>
      </c>
      <c r="P13" s="11">
        <v>1325000</v>
      </c>
      <c r="Q13" s="11">
        <v>11247.5</v>
      </c>
      <c r="R13" s="7">
        <v>0</v>
      </c>
      <c r="S13" s="8" t="s">
        <v>16</v>
      </c>
    </row>
    <row r="14" spans="1:19" x14ac:dyDescent="0.3">
      <c r="A14" s="4" t="s">
        <v>35</v>
      </c>
      <c r="B14" s="4" t="s">
        <v>36</v>
      </c>
      <c r="C14" s="4" t="s">
        <v>15</v>
      </c>
      <c r="D14" s="5">
        <v>0.01</v>
      </c>
      <c r="E14" s="6">
        <v>307000</v>
      </c>
      <c r="F14" s="6">
        <v>0</v>
      </c>
      <c r="G14" s="6">
        <v>3070</v>
      </c>
      <c r="H14" s="7">
        <v>0</v>
      </c>
      <c r="I14" s="8" t="s">
        <v>16</v>
      </c>
      <c r="J14" s="6">
        <v>307000</v>
      </c>
      <c r="K14" s="6">
        <v>0</v>
      </c>
      <c r="L14" s="6">
        <v>1995.5</v>
      </c>
      <c r="M14" s="7">
        <v>0</v>
      </c>
      <c r="N14" s="8" t="s">
        <v>16</v>
      </c>
      <c r="O14" s="6">
        <v>307000</v>
      </c>
      <c r="P14" s="6">
        <v>307000</v>
      </c>
      <c r="Q14" s="6">
        <v>1995.5</v>
      </c>
      <c r="R14" s="7">
        <v>0</v>
      </c>
      <c r="S14" s="8" t="s">
        <v>16</v>
      </c>
    </row>
    <row r="15" spans="1:19" x14ac:dyDescent="0.3">
      <c r="A15" s="9" t="s">
        <v>37</v>
      </c>
      <c r="B15" s="9" t="s">
        <v>38</v>
      </c>
      <c r="C15" s="9" t="s">
        <v>15</v>
      </c>
      <c r="D15" s="10">
        <v>0</v>
      </c>
      <c r="E15" s="11">
        <v>360000</v>
      </c>
      <c r="F15" s="11">
        <v>0</v>
      </c>
      <c r="G15" s="11">
        <v>1620</v>
      </c>
      <c r="H15" s="7">
        <v>0</v>
      </c>
      <c r="I15" s="8" t="s">
        <v>16</v>
      </c>
      <c r="J15" s="11">
        <v>360000</v>
      </c>
      <c r="K15" s="11">
        <v>0</v>
      </c>
      <c r="L15" s="11">
        <v>1620</v>
      </c>
      <c r="M15" s="7">
        <v>0</v>
      </c>
      <c r="N15" s="8" t="s">
        <v>16</v>
      </c>
      <c r="O15" s="11">
        <v>360000</v>
      </c>
      <c r="P15" s="11">
        <v>264000</v>
      </c>
      <c r="Q15" s="11">
        <v>1620</v>
      </c>
      <c r="R15" s="7">
        <v>0</v>
      </c>
      <c r="S15" s="8" t="s">
        <v>16</v>
      </c>
    </row>
    <row r="16" spans="1:19" x14ac:dyDescent="0.3">
      <c r="A16" s="4" t="s">
        <v>39</v>
      </c>
      <c r="B16" s="4" t="s">
        <v>40</v>
      </c>
      <c r="C16" s="4" t="s">
        <v>15</v>
      </c>
      <c r="D16" s="5">
        <v>0</v>
      </c>
      <c r="E16" s="6">
        <v>2360000</v>
      </c>
      <c r="F16" s="6">
        <v>0</v>
      </c>
      <c r="G16" s="6">
        <v>8968</v>
      </c>
      <c r="H16" s="7">
        <v>0</v>
      </c>
      <c r="I16" s="8" t="s">
        <v>16</v>
      </c>
      <c r="J16" s="6">
        <v>2360000</v>
      </c>
      <c r="K16" s="6">
        <v>0</v>
      </c>
      <c r="L16" s="6">
        <v>8968</v>
      </c>
      <c r="M16" s="7">
        <v>0</v>
      </c>
      <c r="N16" s="8" t="s">
        <v>16</v>
      </c>
      <c r="O16" s="6">
        <v>2360000</v>
      </c>
      <c r="P16" s="6">
        <v>1040000</v>
      </c>
      <c r="Q16" s="6">
        <v>8968</v>
      </c>
      <c r="R16" s="7">
        <v>0</v>
      </c>
      <c r="S16" s="8" t="s">
        <v>16</v>
      </c>
    </row>
    <row r="17" spans="1:19" x14ac:dyDescent="0.3">
      <c r="A17" s="9" t="s">
        <v>41</v>
      </c>
      <c r="B17" s="9" t="s">
        <v>42</v>
      </c>
      <c r="C17" s="9" t="s">
        <v>15</v>
      </c>
      <c r="D17" s="10">
        <v>0</v>
      </c>
      <c r="E17" s="11">
        <v>2174000</v>
      </c>
      <c r="F17" s="11">
        <v>0</v>
      </c>
      <c r="G17" s="11">
        <v>8696</v>
      </c>
      <c r="H17" s="7">
        <v>0</v>
      </c>
      <c r="I17" s="8" t="s">
        <v>16</v>
      </c>
      <c r="J17" s="11">
        <v>2174000</v>
      </c>
      <c r="K17" s="11">
        <v>0</v>
      </c>
      <c r="L17" s="11">
        <v>8696</v>
      </c>
      <c r="M17" s="7">
        <v>0</v>
      </c>
      <c r="N17" s="8" t="s">
        <v>16</v>
      </c>
      <c r="O17" s="11">
        <v>2174000</v>
      </c>
      <c r="P17" s="11">
        <v>2174000</v>
      </c>
      <c r="Q17" s="11">
        <v>8696</v>
      </c>
      <c r="R17" s="7">
        <v>0</v>
      </c>
      <c r="S17" s="8" t="s">
        <v>16</v>
      </c>
    </row>
    <row r="18" spans="1:19" x14ac:dyDescent="0.3">
      <c r="A18" s="4" t="s">
        <v>43</v>
      </c>
      <c r="B18" s="4" t="s">
        <v>44</v>
      </c>
      <c r="C18" s="4" t="s">
        <v>15</v>
      </c>
      <c r="D18" s="5">
        <v>0.01</v>
      </c>
      <c r="E18" s="6">
        <v>2286000</v>
      </c>
      <c r="F18" s="6">
        <v>0</v>
      </c>
      <c r="G18" s="6">
        <v>22860</v>
      </c>
      <c r="H18" s="7">
        <v>0</v>
      </c>
      <c r="I18" s="8" t="s">
        <v>16</v>
      </c>
      <c r="J18" s="6">
        <v>2286000</v>
      </c>
      <c r="K18" s="6">
        <v>0</v>
      </c>
      <c r="L18" s="6">
        <v>15087.6</v>
      </c>
      <c r="M18" s="7">
        <v>0</v>
      </c>
      <c r="N18" s="8" t="s">
        <v>16</v>
      </c>
      <c r="O18" s="6">
        <v>2286000</v>
      </c>
      <c r="P18" s="6">
        <v>2286000</v>
      </c>
      <c r="Q18" s="6">
        <v>15087.6</v>
      </c>
      <c r="R18" s="7">
        <v>0</v>
      </c>
      <c r="S18" s="8" t="s">
        <v>16</v>
      </c>
    </row>
    <row r="19" spans="1:19" x14ac:dyDescent="0.3">
      <c r="A19" s="9" t="s">
        <v>45</v>
      </c>
      <c r="B19" s="9" t="s">
        <v>46</v>
      </c>
      <c r="C19" s="9" t="s">
        <v>15</v>
      </c>
      <c r="D19" s="10">
        <v>0.02</v>
      </c>
      <c r="E19" s="11">
        <v>2018000</v>
      </c>
      <c r="F19" s="11">
        <v>0</v>
      </c>
      <c r="G19" s="11">
        <v>40360</v>
      </c>
      <c r="H19" s="7">
        <v>0</v>
      </c>
      <c r="I19" s="8" t="s">
        <v>16</v>
      </c>
      <c r="J19" s="11">
        <v>2018000</v>
      </c>
      <c r="K19" s="11">
        <v>0</v>
      </c>
      <c r="L19" s="11">
        <v>50248.2</v>
      </c>
      <c r="M19" s="7">
        <v>0</v>
      </c>
      <c r="N19" s="8" t="s">
        <v>16</v>
      </c>
      <c r="O19" s="11">
        <v>2018000</v>
      </c>
      <c r="P19" s="11">
        <v>1122000</v>
      </c>
      <c r="Q19" s="11">
        <v>50248.2</v>
      </c>
      <c r="R19" s="7">
        <v>0</v>
      </c>
      <c r="S19" s="8" t="s">
        <v>16</v>
      </c>
    </row>
    <row r="20" spans="1:19" x14ac:dyDescent="0.3">
      <c r="A20" s="4" t="s">
        <v>47</v>
      </c>
      <c r="B20" s="4" t="s">
        <v>48</v>
      </c>
      <c r="C20" s="4" t="s">
        <v>15</v>
      </c>
      <c r="D20" s="5">
        <v>7.0000000000000007E-2</v>
      </c>
      <c r="E20" s="6">
        <v>62000</v>
      </c>
      <c r="F20" s="6">
        <v>0</v>
      </c>
      <c r="G20" s="6">
        <v>4526</v>
      </c>
      <c r="H20" s="7">
        <v>0</v>
      </c>
      <c r="I20" s="8" t="s">
        <v>16</v>
      </c>
      <c r="J20" s="6">
        <v>62000</v>
      </c>
      <c r="K20" s="6">
        <v>0</v>
      </c>
      <c r="L20" s="6">
        <v>4526</v>
      </c>
      <c r="M20" s="7">
        <v>0</v>
      </c>
      <c r="N20" s="8" t="s">
        <v>16</v>
      </c>
      <c r="O20" s="6">
        <v>62000</v>
      </c>
      <c r="P20" s="6">
        <v>12000</v>
      </c>
      <c r="Q20" s="6">
        <v>4526</v>
      </c>
      <c r="R20" s="7">
        <v>0</v>
      </c>
      <c r="S20" s="8" t="s">
        <v>16</v>
      </c>
    </row>
    <row r="21" spans="1:19" x14ac:dyDescent="0.3">
      <c r="A21" s="9" t="s">
        <v>49</v>
      </c>
      <c r="B21" s="9" t="s">
        <v>50</v>
      </c>
      <c r="C21" s="9" t="s">
        <v>15</v>
      </c>
      <c r="D21" s="10">
        <v>0.01</v>
      </c>
      <c r="E21" s="11">
        <v>89420</v>
      </c>
      <c r="F21" s="11">
        <v>0</v>
      </c>
      <c r="G21" s="11">
        <v>894.2</v>
      </c>
      <c r="H21" s="7">
        <v>0</v>
      </c>
      <c r="I21" s="8" t="s">
        <v>16</v>
      </c>
      <c r="J21" s="11">
        <v>89420</v>
      </c>
      <c r="K21" s="11">
        <v>0</v>
      </c>
      <c r="L21" s="11">
        <v>1251.8800000000001</v>
      </c>
      <c r="M21" s="7">
        <v>0</v>
      </c>
      <c r="N21" s="8" t="s">
        <v>16</v>
      </c>
      <c r="O21" s="11">
        <v>89420</v>
      </c>
      <c r="P21" s="11">
        <v>31820</v>
      </c>
      <c r="Q21" s="11">
        <v>1251.8800000000001</v>
      </c>
      <c r="R21" s="7">
        <v>0</v>
      </c>
      <c r="S21" s="8" t="s">
        <v>16</v>
      </c>
    </row>
    <row r="22" spans="1:19" x14ac:dyDescent="0.3">
      <c r="A22" s="4" t="s">
        <v>51</v>
      </c>
      <c r="B22" s="4" t="s">
        <v>52</v>
      </c>
      <c r="C22" s="4" t="s">
        <v>15</v>
      </c>
      <c r="D22" s="5">
        <v>0.2</v>
      </c>
      <c r="E22" s="6">
        <v>114561</v>
      </c>
      <c r="F22" s="6">
        <v>0</v>
      </c>
      <c r="G22" s="6">
        <v>23381.9</v>
      </c>
      <c r="H22" s="7">
        <v>0</v>
      </c>
      <c r="I22" s="12" t="s">
        <v>53</v>
      </c>
      <c r="J22" s="6">
        <v>114561</v>
      </c>
      <c r="K22" s="6">
        <v>0</v>
      </c>
      <c r="L22" s="6">
        <v>23381.900099999999</v>
      </c>
      <c r="M22" s="7">
        <v>0</v>
      </c>
      <c r="N22" s="12" t="s">
        <v>53</v>
      </c>
      <c r="O22" s="6">
        <v>114561</v>
      </c>
      <c r="P22" s="6">
        <v>53961</v>
      </c>
      <c r="Q22" s="6">
        <v>23381.900099999999</v>
      </c>
      <c r="R22" s="7">
        <v>0</v>
      </c>
      <c r="S22" s="12" t="s">
        <v>53</v>
      </c>
    </row>
    <row r="23" spans="1:19" x14ac:dyDescent="0.3">
      <c r="A23" s="9" t="s">
        <v>54</v>
      </c>
      <c r="B23" s="9" t="s">
        <v>55</v>
      </c>
      <c r="C23" s="9" t="s">
        <v>15</v>
      </c>
      <c r="D23" s="10">
        <v>0.28999999999999998</v>
      </c>
      <c r="E23" s="11">
        <v>95882</v>
      </c>
      <c r="F23" s="11">
        <v>0</v>
      </c>
      <c r="G23" s="11">
        <v>27431.84</v>
      </c>
      <c r="H23" s="7">
        <v>0</v>
      </c>
      <c r="I23" s="12" t="s">
        <v>53</v>
      </c>
      <c r="J23" s="11">
        <v>95882</v>
      </c>
      <c r="K23" s="11">
        <v>0</v>
      </c>
      <c r="L23" s="11">
        <v>27431.840199999999</v>
      </c>
      <c r="M23" s="7">
        <v>0</v>
      </c>
      <c r="N23" s="12" t="s">
        <v>53</v>
      </c>
      <c r="O23" s="11">
        <v>95882</v>
      </c>
      <c r="P23" s="11">
        <v>0</v>
      </c>
      <c r="Q23" s="11">
        <v>27431.840199999999</v>
      </c>
      <c r="R23" s="7">
        <v>0</v>
      </c>
      <c r="S23" s="12" t="s">
        <v>53</v>
      </c>
    </row>
    <row r="24" spans="1:19" x14ac:dyDescent="0.3">
      <c r="A24" s="4" t="s">
        <v>56</v>
      </c>
      <c r="B24" s="4" t="s">
        <v>57</v>
      </c>
      <c r="C24" s="4" t="s">
        <v>15</v>
      </c>
      <c r="D24" s="5">
        <v>0.04</v>
      </c>
      <c r="E24" s="6">
        <v>169272</v>
      </c>
      <c r="F24" s="6">
        <v>0</v>
      </c>
      <c r="G24" s="6">
        <v>7092.5</v>
      </c>
      <c r="H24" s="7">
        <v>0</v>
      </c>
      <c r="I24" s="12" t="s">
        <v>53</v>
      </c>
      <c r="J24" s="6">
        <v>169272</v>
      </c>
      <c r="K24" s="6">
        <v>0</v>
      </c>
      <c r="L24" s="6">
        <v>7092.4967999999999</v>
      </c>
      <c r="M24" s="7">
        <v>0</v>
      </c>
      <c r="N24" s="12" t="s">
        <v>53</v>
      </c>
      <c r="O24" s="6">
        <v>169272</v>
      </c>
      <c r="P24" s="6">
        <v>75572</v>
      </c>
      <c r="Q24" s="6">
        <v>7092.4967999999999</v>
      </c>
      <c r="R24" s="7">
        <v>0</v>
      </c>
      <c r="S24" s="12" t="s">
        <v>53</v>
      </c>
    </row>
    <row r="25" spans="1:19" x14ac:dyDescent="0.3">
      <c r="A25" s="9" t="s">
        <v>58</v>
      </c>
      <c r="B25" s="9" t="s">
        <v>59</v>
      </c>
      <c r="C25" s="9" t="s">
        <v>60</v>
      </c>
      <c r="D25" s="10">
        <v>0.06</v>
      </c>
      <c r="E25" s="11">
        <v>47842</v>
      </c>
      <c r="F25" s="11">
        <v>0</v>
      </c>
      <c r="G25" s="11">
        <v>2722.21</v>
      </c>
      <c r="H25" s="7">
        <v>0</v>
      </c>
      <c r="I25" s="12" t="s">
        <v>53</v>
      </c>
      <c r="J25" s="11">
        <v>47842</v>
      </c>
      <c r="K25" s="11">
        <v>0</v>
      </c>
      <c r="L25" s="11">
        <v>2722.2098000000001</v>
      </c>
      <c r="M25" s="7">
        <v>0</v>
      </c>
      <c r="N25" s="12" t="s">
        <v>53</v>
      </c>
      <c r="O25" s="11">
        <v>47842</v>
      </c>
      <c r="P25" s="11">
        <v>15342</v>
      </c>
      <c r="Q25" s="11">
        <v>2722.2098000000001</v>
      </c>
      <c r="R25" s="7">
        <v>0</v>
      </c>
      <c r="S25" s="12" t="s">
        <v>53</v>
      </c>
    </row>
    <row r="26" spans="1:19" x14ac:dyDescent="0.3">
      <c r="A26" s="4" t="s">
        <v>61</v>
      </c>
      <c r="B26" s="4" t="s">
        <v>62</v>
      </c>
      <c r="C26" s="4" t="s">
        <v>15</v>
      </c>
      <c r="D26" s="5">
        <v>0.03</v>
      </c>
      <c r="E26" s="6">
        <v>256000</v>
      </c>
      <c r="F26" s="6">
        <v>0</v>
      </c>
      <c r="G26" s="6">
        <v>7091.2</v>
      </c>
      <c r="H26" s="7">
        <v>0</v>
      </c>
      <c r="I26" s="8" t="s">
        <v>16</v>
      </c>
      <c r="J26" s="6">
        <v>256000</v>
      </c>
      <c r="K26" s="6">
        <v>0</v>
      </c>
      <c r="L26" s="6">
        <v>7091.2</v>
      </c>
      <c r="M26" s="7">
        <v>0</v>
      </c>
      <c r="N26" s="8" t="s">
        <v>16</v>
      </c>
      <c r="O26" s="6">
        <v>256000</v>
      </c>
      <c r="P26" s="6">
        <v>224000</v>
      </c>
      <c r="Q26" s="6">
        <v>7091.2</v>
      </c>
      <c r="R26" s="7">
        <v>0</v>
      </c>
      <c r="S26" s="8" t="s">
        <v>16</v>
      </c>
    </row>
    <row r="27" spans="1:19" x14ac:dyDescent="0.3">
      <c r="A27" s="9" t="s">
        <v>63</v>
      </c>
      <c r="B27" s="9" t="s">
        <v>64</v>
      </c>
      <c r="C27" s="9" t="s">
        <v>15</v>
      </c>
      <c r="D27" s="10">
        <v>0.01</v>
      </c>
      <c r="E27" s="11">
        <v>160000</v>
      </c>
      <c r="F27" s="11">
        <v>0</v>
      </c>
      <c r="G27" s="11">
        <v>1600</v>
      </c>
      <c r="H27" s="7">
        <v>0</v>
      </c>
      <c r="I27" s="12" t="s">
        <v>53</v>
      </c>
      <c r="J27" s="11">
        <v>160000</v>
      </c>
      <c r="K27" s="11">
        <v>0</v>
      </c>
      <c r="L27" s="11">
        <v>2352</v>
      </c>
      <c r="M27" s="7">
        <v>0</v>
      </c>
      <c r="N27" s="12" t="s">
        <v>53</v>
      </c>
      <c r="O27" s="11">
        <v>160000</v>
      </c>
      <c r="P27" s="11">
        <v>160000</v>
      </c>
      <c r="Q27" s="11">
        <v>2352</v>
      </c>
      <c r="R27" s="7">
        <v>0</v>
      </c>
      <c r="S27" s="12" t="s">
        <v>53</v>
      </c>
    </row>
    <row r="28" spans="1:19" x14ac:dyDescent="0.3">
      <c r="A28" s="4" t="s">
        <v>65</v>
      </c>
      <c r="B28" s="4" t="s">
        <v>66</v>
      </c>
      <c r="C28" s="4" t="s">
        <v>15</v>
      </c>
      <c r="D28" s="5">
        <v>0.01</v>
      </c>
      <c r="E28" s="6">
        <v>200000</v>
      </c>
      <c r="F28" s="6">
        <v>0</v>
      </c>
      <c r="G28" s="6">
        <v>2000</v>
      </c>
      <c r="H28" s="7">
        <v>0</v>
      </c>
      <c r="I28" s="12" t="s">
        <v>53</v>
      </c>
      <c r="J28" s="6">
        <v>200000</v>
      </c>
      <c r="K28" s="6">
        <v>0</v>
      </c>
      <c r="L28" s="6">
        <v>2940</v>
      </c>
      <c r="M28" s="7">
        <v>0</v>
      </c>
      <c r="N28" s="12" t="s">
        <v>53</v>
      </c>
      <c r="O28" s="6">
        <v>200000</v>
      </c>
      <c r="P28" s="6">
        <v>200000</v>
      </c>
      <c r="Q28" s="6">
        <v>2940</v>
      </c>
      <c r="R28" s="7">
        <v>0</v>
      </c>
      <c r="S28" s="12" t="s">
        <v>53</v>
      </c>
    </row>
    <row r="29" spans="1:19" x14ac:dyDescent="0.3">
      <c r="A29" s="9" t="s">
        <v>67</v>
      </c>
      <c r="B29" s="9" t="s">
        <v>68</v>
      </c>
      <c r="C29" s="9" t="s">
        <v>69</v>
      </c>
      <c r="D29" s="10">
        <v>10.42</v>
      </c>
      <c r="E29" s="11">
        <v>7820</v>
      </c>
      <c r="F29" s="11">
        <v>0</v>
      </c>
      <c r="G29" s="11">
        <v>81484.399999999994</v>
      </c>
      <c r="H29" s="7">
        <v>0</v>
      </c>
      <c r="I29" s="8" t="s">
        <v>16</v>
      </c>
      <c r="J29" s="11">
        <v>7820</v>
      </c>
      <c r="K29" s="11">
        <v>0</v>
      </c>
      <c r="L29" s="11">
        <v>81484.399999999994</v>
      </c>
      <c r="M29" s="7">
        <v>0</v>
      </c>
      <c r="N29" s="8" t="s">
        <v>16</v>
      </c>
      <c r="O29" s="11">
        <v>7820</v>
      </c>
      <c r="P29" s="11">
        <v>0</v>
      </c>
      <c r="Q29" s="11">
        <v>81484.399999999994</v>
      </c>
      <c r="R29" s="7">
        <v>0</v>
      </c>
      <c r="S29" s="8" t="s">
        <v>16</v>
      </c>
    </row>
    <row r="30" spans="1:19" x14ac:dyDescent="0.3">
      <c r="A30" s="4" t="s">
        <v>70</v>
      </c>
      <c r="B30" s="4" t="s">
        <v>71</v>
      </c>
      <c r="C30" s="4" t="s">
        <v>15</v>
      </c>
      <c r="D30" s="5">
        <v>0.03</v>
      </c>
      <c r="E30" s="6">
        <v>547500</v>
      </c>
      <c r="F30" s="6">
        <v>0</v>
      </c>
      <c r="G30" s="6">
        <v>16698.75</v>
      </c>
      <c r="H30" s="7">
        <v>0</v>
      </c>
      <c r="I30" s="12" t="s">
        <v>53</v>
      </c>
      <c r="J30" s="6">
        <v>547500</v>
      </c>
      <c r="K30" s="6">
        <v>0</v>
      </c>
      <c r="L30" s="6">
        <v>16698.75</v>
      </c>
      <c r="M30" s="7">
        <v>0</v>
      </c>
      <c r="N30" s="12" t="s">
        <v>53</v>
      </c>
      <c r="O30" s="6">
        <v>547500</v>
      </c>
      <c r="P30" s="6">
        <v>0</v>
      </c>
      <c r="Q30" s="6">
        <v>16698.75</v>
      </c>
      <c r="R30" s="7">
        <v>0</v>
      </c>
      <c r="S30" s="12" t="s">
        <v>53</v>
      </c>
    </row>
    <row r="31" spans="1:19" x14ac:dyDescent="0.3">
      <c r="A31" s="9" t="s">
        <v>72</v>
      </c>
      <c r="B31" s="9" t="s">
        <v>73</v>
      </c>
      <c r="C31" s="9" t="s">
        <v>69</v>
      </c>
      <c r="D31" s="10">
        <v>10.6</v>
      </c>
      <c r="E31" s="11">
        <v>2785</v>
      </c>
      <c r="F31" s="11">
        <v>0</v>
      </c>
      <c r="G31" s="11">
        <v>29521</v>
      </c>
      <c r="H31" s="7">
        <v>0</v>
      </c>
      <c r="I31" s="8" t="s">
        <v>16</v>
      </c>
      <c r="J31" s="11">
        <v>2785</v>
      </c>
      <c r="K31" s="11">
        <v>0</v>
      </c>
      <c r="L31" s="11">
        <v>29521</v>
      </c>
      <c r="M31" s="7">
        <v>0</v>
      </c>
      <c r="N31" s="8" t="s">
        <v>16</v>
      </c>
      <c r="O31" s="11">
        <v>2785</v>
      </c>
      <c r="P31" s="11">
        <v>0</v>
      </c>
      <c r="Q31" s="11">
        <v>29521</v>
      </c>
      <c r="R31" s="7">
        <v>0</v>
      </c>
      <c r="S31" s="8" t="s">
        <v>16</v>
      </c>
    </row>
    <row r="32" spans="1:19" x14ac:dyDescent="0.3">
      <c r="A32" s="4" t="s">
        <v>74</v>
      </c>
      <c r="B32" s="4" t="s">
        <v>75</v>
      </c>
      <c r="C32" s="4" t="s">
        <v>69</v>
      </c>
      <c r="D32" s="5">
        <v>10.62</v>
      </c>
      <c r="E32" s="6">
        <v>1744</v>
      </c>
      <c r="F32" s="6">
        <v>0</v>
      </c>
      <c r="G32" s="6">
        <v>18521.28</v>
      </c>
      <c r="H32" s="7">
        <v>0</v>
      </c>
      <c r="I32" s="8" t="s">
        <v>16</v>
      </c>
      <c r="J32" s="6">
        <v>1744</v>
      </c>
      <c r="K32" s="6">
        <v>0</v>
      </c>
      <c r="L32" s="6">
        <v>18521.28</v>
      </c>
      <c r="M32" s="7">
        <v>0</v>
      </c>
      <c r="N32" s="8" t="s">
        <v>16</v>
      </c>
      <c r="O32" s="6">
        <v>1744</v>
      </c>
      <c r="P32" s="6">
        <v>0</v>
      </c>
      <c r="Q32" s="6">
        <v>18521.28</v>
      </c>
      <c r="R32" s="7">
        <v>0</v>
      </c>
      <c r="S32" s="8" t="s">
        <v>16</v>
      </c>
    </row>
    <row r="33" spans="1:19" x14ac:dyDescent="0.3">
      <c r="A33" s="9" t="s">
        <v>76</v>
      </c>
      <c r="B33" s="9" t="s">
        <v>77</v>
      </c>
      <c r="C33" s="9" t="s">
        <v>69</v>
      </c>
      <c r="D33" s="10">
        <v>10.45</v>
      </c>
      <c r="E33" s="11">
        <v>862</v>
      </c>
      <c r="F33" s="11">
        <v>0</v>
      </c>
      <c r="G33" s="11">
        <v>9007.9</v>
      </c>
      <c r="H33" s="7">
        <v>0</v>
      </c>
      <c r="I33" s="8" t="s">
        <v>16</v>
      </c>
      <c r="J33" s="11">
        <v>862</v>
      </c>
      <c r="K33" s="11">
        <v>0</v>
      </c>
      <c r="L33" s="11">
        <v>9007.9</v>
      </c>
      <c r="M33" s="7">
        <v>0</v>
      </c>
      <c r="N33" s="8" t="s">
        <v>16</v>
      </c>
      <c r="O33" s="11">
        <v>862</v>
      </c>
      <c r="P33" s="11">
        <v>0</v>
      </c>
      <c r="Q33" s="11">
        <v>9007.9</v>
      </c>
      <c r="R33" s="7">
        <v>0</v>
      </c>
      <c r="S33" s="8" t="s">
        <v>16</v>
      </c>
    </row>
    <row r="34" spans="1:19" x14ac:dyDescent="0.3">
      <c r="A34" s="4" t="s">
        <v>78</v>
      </c>
      <c r="B34" s="4" t="s">
        <v>79</v>
      </c>
      <c r="C34" s="4" t="s">
        <v>69</v>
      </c>
      <c r="D34" s="5">
        <v>10.63</v>
      </c>
      <c r="E34" s="6">
        <v>963.15</v>
      </c>
      <c r="F34" s="6">
        <v>0</v>
      </c>
      <c r="G34" s="6">
        <v>10238.25</v>
      </c>
      <c r="H34" s="7">
        <v>0</v>
      </c>
      <c r="I34" s="8" t="s">
        <v>16</v>
      </c>
      <c r="J34" s="6">
        <v>963.14700000000005</v>
      </c>
      <c r="K34" s="6">
        <v>0</v>
      </c>
      <c r="L34" s="6">
        <v>10238.2526</v>
      </c>
      <c r="M34" s="7">
        <v>0</v>
      </c>
      <c r="N34" s="8" t="s">
        <v>16</v>
      </c>
      <c r="O34" s="6">
        <v>963.14700000000005</v>
      </c>
      <c r="P34" s="6">
        <v>0</v>
      </c>
      <c r="Q34" s="6">
        <v>10238.2526</v>
      </c>
      <c r="R34" s="7">
        <v>0</v>
      </c>
      <c r="S34" s="8" t="s">
        <v>16</v>
      </c>
    </row>
    <row r="35" spans="1:19" x14ac:dyDescent="0.3">
      <c r="A35" s="9" t="s">
        <v>80</v>
      </c>
      <c r="B35" s="9" t="s">
        <v>81</v>
      </c>
      <c r="C35" s="9" t="s">
        <v>69</v>
      </c>
      <c r="D35" s="10">
        <v>10.58</v>
      </c>
      <c r="E35" s="11">
        <v>842.14</v>
      </c>
      <c r="F35" s="11">
        <v>0</v>
      </c>
      <c r="G35" s="11">
        <v>8909.84</v>
      </c>
      <c r="H35" s="7">
        <v>0</v>
      </c>
      <c r="I35" s="8" t="s">
        <v>16</v>
      </c>
      <c r="J35" s="11">
        <v>842.14</v>
      </c>
      <c r="K35" s="11">
        <v>0</v>
      </c>
      <c r="L35" s="11">
        <v>8909.8412000000008</v>
      </c>
      <c r="M35" s="7">
        <v>0</v>
      </c>
      <c r="N35" s="8" t="s">
        <v>16</v>
      </c>
      <c r="O35" s="11">
        <v>842.14</v>
      </c>
      <c r="P35" s="11">
        <v>0</v>
      </c>
      <c r="Q35" s="11">
        <v>8909.8412000000008</v>
      </c>
      <c r="R35" s="7">
        <v>0</v>
      </c>
      <c r="S35" s="8" t="s">
        <v>16</v>
      </c>
    </row>
    <row r="36" spans="1:19" x14ac:dyDescent="0.3">
      <c r="A36" s="4" t="s">
        <v>82</v>
      </c>
      <c r="B36" s="4" t="s">
        <v>83</v>
      </c>
      <c r="C36" s="4" t="s">
        <v>69</v>
      </c>
      <c r="D36" s="5">
        <v>10.55</v>
      </c>
      <c r="E36" s="6">
        <v>412</v>
      </c>
      <c r="F36" s="6">
        <v>0</v>
      </c>
      <c r="G36" s="6">
        <v>4346.6000000000004</v>
      </c>
      <c r="H36" s="7">
        <v>0</v>
      </c>
      <c r="I36" s="8" t="s">
        <v>16</v>
      </c>
      <c r="J36" s="6">
        <v>412</v>
      </c>
      <c r="K36" s="6">
        <v>0</v>
      </c>
      <c r="L36" s="6">
        <v>4346.6000000000004</v>
      </c>
      <c r="M36" s="7">
        <v>0</v>
      </c>
      <c r="N36" s="8" t="s">
        <v>16</v>
      </c>
      <c r="O36" s="6">
        <v>412</v>
      </c>
      <c r="P36" s="6">
        <v>0</v>
      </c>
      <c r="Q36" s="6">
        <v>4346.6000000000004</v>
      </c>
      <c r="R36" s="7">
        <v>0</v>
      </c>
      <c r="S36" s="8" t="s">
        <v>16</v>
      </c>
    </row>
    <row r="37" spans="1:19" x14ac:dyDescent="0.3">
      <c r="A37" s="9" t="s">
        <v>84</v>
      </c>
      <c r="B37" s="9" t="s">
        <v>85</v>
      </c>
      <c r="C37" s="9" t="s">
        <v>69</v>
      </c>
      <c r="D37" s="10">
        <v>10.31</v>
      </c>
      <c r="E37" s="11">
        <v>231</v>
      </c>
      <c r="F37" s="11">
        <v>0</v>
      </c>
      <c r="G37" s="11">
        <v>2381.61</v>
      </c>
      <c r="H37" s="7">
        <v>0</v>
      </c>
      <c r="I37" s="8" t="s">
        <v>16</v>
      </c>
      <c r="J37" s="11">
        <v>231</v>
      </c>
      <c r="K37" s="11">
        <v>0</v>
      </c>
      <c r="L37" s="11">
        <v>2381.61</v>
      </c>
      <c r="M37" s="7">
        <v>0</v>
      </c>
      <c r="N37" s="8" t="s">
        <v>16</v>
      </c>
      <c r="O37" s="11">
        <v>231</v>
      </c>
      <c r="P37" s="11">
        <v>0</v>
      </c>
      <c r="Q37" s="11">
        <v>2381.61</v>
      </c>
      <c r="R37" s="7">
        <v>0</v>
      </c>
      <c r="S37" s="8" t="s">
        <v>16</v>
      </c>
    </row>
    <row r="38" spans="1:19" x14ac:dyDescent="0.3">
      <c r="A38" s="4" t="s">
        <v>86</v>
      </c>
      <c r="B38" s="4" t="s">
        <v>87</v>
      </c>
      <c r="C38" s="4" t="s">
        <v>69</v>
      </c>
      <c r="D38" s="5">
        <v>11.25</v>
      </c>
      <c r="E38" s="6">
        <v>1063</v>
      </c>
      <c r="F38" s="6">
        <v>0</v>
      </c>
      <c r="G38" s="6">
        <v>11958.75</v>
      </c>
      <c r="H38" s="7">
        <v>0</v>
      </c>
      <c r="I38" s="8" t="s">
        <v>16</v>
      </c>
      <c r="J38" s="6">
        <v>1063</v>
      </c>
      <c r="K38" s="6">
        <v>0</v>
      </c>
      <c r="L38" s="6">
        <v>11958.75</v>
      </c>
      <c r="M38" s="7">
        <v>0</v>
      </c>
      <c r="N38" s="8" t="s">
        <v>16</v>
      </c>
      <c r="O38" s="6">
        <v>1063</v>
      </c>
      <c r="P38" s="6">
        <v>0</v>
      </c>
      <c r="Q38" s="6">
        <v>11958.75</v>
      </c>
      <c r="R38" s="7">
        <v>0</v>
      </c>
      <c r="S38" s="8" t="s">
        <v>16</v>
      </c>
    </row>
    <row r="39" spans="1:19" x14ac:dyDescent="0.3">
      <c r="A39" s="9" t="s">
        <v>88</v>
      </c>
      <c r="B39" s="9" t="s">
        <v>89</v>
      </c>
      <c r="C39" s="9" t="s">
        <v>69</v>
      </c>
      <c r="D39" s="10">
        <v>10.64</v>
      </c>
      <c r="E39" s="11">
        <v>1256</v>
      </c>
      <c r="F39" s="11">
        <v>0</v>
      </c>
      <c r="G39" s="11">
        <v>13363.84</v>
      </c>
      <c r="H39" s="7">
        <v>0</v>
      </c>
      <c r="I39" s="8" t="s">
        <v>16</v>
      </c>
      <c r="J39" s="11">
        <v>1256</v>
      </c>
      <c r="K39" s="11">
        <v>0</v>
      </c>
      <c r="L39" s="11">
        <v>13363.84</v>
      </c>
      <c r="M39" s="7">
        <v>0</v>
      </c>
      <c r="N39" s="8" t="s">
        <v>16</v>
      </c>
      <c r="O39" s="11">
        <v>1256</v>
      </c>
      <c r="P39" s="11">
        <v>92.26</v>
      </c>
      <c r="Q39" s="11">
        <v>13363.84</v>
      </c>
      <c r="R39" s="7">
        <v>0</v>
      </c>
      <c r="S39" s="8" t="s">
        <v>16</v>
      </c>
    </row>
    <row r="40" spans="1:19" x14ac:dyDescent="0.3">
      <c r="A40" s="4" t="s">
        <v>90</v>
      </c>
      <c r="B40" s="4" t="s">
        <v>91</v>
      </c>
      <c r="C40" s="4" t="s">
        <v>69</v>
      </c>
      <c r="D40" s="5">
        <v>10.55</v>
      </c>
      <c r="E40" s="6">
        <v>1645.14</v>
      </c>
      <c r="F40" s="6">
        <v>0</v>
      </c>
      <c r="G40" s="6">
        <v>17356.23</v>
      </c>
      <c r="H40" s="7">
        <v>0</v>
      </c>
      <c r="I40" s="8" t="s">
        <v>16</v>
      </c>
      <c r="J40" s="6">
        <v>1645.14</v>
      </c>
      <c r="K40" s="6">
        <v>0</v>
      </c>
      <c r="L40" s="6">
        <v>17356.226999999999</v>
      </c>
      <c r="M40" s="7">
        <v>0</v>
      </c>
      <c r="N40" s="8" t="s">
        <v>16</v>
      </c>
      <c r="O40" s="6">
        <v>1645.14</v>
      </c>
      <c r="P40" s="6">
        <v>0</v>
      </c>
      <c r="Q40" s="6">
        <v>17356.226999999999</v>
      </c>
      <c r="R40" s="7">
        <v>0</v>
      </c>
      <c r="S40" s="8" t="s">
        <v>16</v>
      </c>
    </row>
    <row r="41" spans="1:19" x14ac:dyDescent="0.3">
      <c r="A41" s="9" t="s">
        <v>92</v>
      </c>
      <c r="B41" s="9" t="s">
        <v>93</v>
      </c>
      <c r="C41" s="9" t="s">
        <v>69</v>
      </c>
      <c r="D41" s="10">
        <v>13.5</v>
      </c>
      <c r="E41" s="11">
        <v>48</v>
      </c>
      <c r="F41" s="11">
        <v>0</v>
      </c>
      <c r="G41" s="11">
        <v>648</v>
      </c>
      <c r="H41" s="7">
        <v>0</v>
      </c>
      <c r="I41" s="12" t="s">
        <v>53</v>
      </c>
      <c r="J41" s="11">
        <v>48</v>
      </c>
      <c r="K41" s="11">
        <v>0</v>
      </c>
      <c r="L41" s="11">
        <v>648</v>
      </c>
      <c r="M41" s="7">
        <v>0</v>
      </c>
      <c r="N41" s="12" t="s">
        <v>53</v>
      </c>
      <c r="O41" s="11">
        <v>48</v>
      </c>
      <c r="P41" s="11">
        <v>0</v>
      </c>
      <c r="Q41" s="11">
        <v>648</v>
      </c>
      <c r="R41" s="7">
        <v>0</v>
      </c>
      <c r="S41" s="12" t="s">
        <v>53</v>
      </c>
    </row>
    <row r="42" spans="1:19" x14ac:dyDescent="0.3">
      <c r="A42" s="4" t="s">
        <v>94</v>
      </c>
      <c r="B42" s="4" t="s">
        <v>95</v>
      </c>
      <c r="C42" s="4" t="s">
        <v>69</v>
      </c>
      <c r="D42" s="5">
        <v>12</v>
      </c>
      <c r="E42" s="6">
        <v>0.28000000000000003</v>
      </c>
      <c r="F42" s="6">
        <v>0</v>
      </c>
      <c r="G42" s="6">
        <v>3.36</v>
      </c>
      <c r="H42" s="7">
        <v>0</v>
      </c>
      <c r="I42" s="12" t="s">
        <v>53</v>
      </c>
      <c r="J42" s="6">
        <v>0.28000000000000003</v>
      </c>
      <c r="K42" s="6">
        <v>0</v>
      </c>
      <c r="L42" s="6">
        <v>3.36</v>
      </c>
      <c r="M42" s="7">
        <v>0</v>
      </c>
      <c r="N42" s="12" t="s">
        <v>53</v>
      </c>
      <c r="O42" s="6">
        <v>0.28000000000000003</v>
      </c>
      <c r="P42" s="6">
        <v>0.28000000000000003</v>
      </c>
      <c r="Q42" s="6">
        <v>3.36</v>
      </c>
      <c r="R42" s="7">
        <v>0</v>
      </c>
      <c r="S42" s="12" t="s">
        <v>53</v>
      </c>
    </row>
    <row r="43" spans="1:19" x14ac:dyDescent="0.3">
      <c r="A43" s="9" t="s">
        <v>96</v>
      </c>
      <c r="B43" s="9" t="s">
        <v>97</v>
      </c>
      <c r="C43" s="9" t="s">
        <v>69</v>
      </c>
      <c r="D43" s="10">
        <v>10.27</v>
      </c>
      <c r="E43" s="11">
        <v>70.41</v>
      </c>
      <c r="F43" s="11">
        <v>0</v>
      </c>
      <c r="G43" s="11">
        <v>723.43</v>
      </c>
      <c r="H43" s="7">
        <v>0</v>
      </c>
      <c r="I43" s="8" t="s">
        <v>16</v>
      </c>
      <c r="J43" s="11">
        <v>70.41</v>
      </c>
      <c r="K43" s="11">
        <v>0</v>
      </c>
      <c r="L43" s="11">
        <v>723.42750000000001</v>
      </c>
      <c r="M43" s="7">
        <v>0</v>
      </c>
      <c r="N43" s="8" t="s">
        <v>16</v>
      </c>
      <c r="O43" s="11">
        <v>70.41</v>
      </c>
      <c r="P43" s="11">
        <v>0</v>
      </c>
      <c r="Q43" s="11">
        <v>723.42750000000001</v>
      </c>
      <c r="R43" s="7">
        <v>0</v>
      </c>
      <c r="S43" s="8" t="s">
        <v>16</v>
      </c>
    </row>
    <row r="44" spans="1:19" x14ac:dyDescent="0.3">
      <c r="A44" s="4" t="s">
        <v>98</v>
      </c>
      <c r="B44" s="4" t="s">
        <v>99</v>
      </c>
      <c r="C44" s="4" t="s">
        <v>100</v>
      </c>
      <c r="D44" s="5">
        <v>10.31</v>
      </c>
      <c r="E44" s="6">
        <v>597.70000000000005</v>
      </c>
      <c r="F44" s="6">
        <v>0</v>
      </c>
      <c r="G44" s="6">
        <v>6162.29</v>
      </c>
      <c r="H44" s="7">
        <v>0</v>
      </c>
      <c r="I44" s="12" t="s">
        <v>53</v>
      </c>
      <c r="J44" s="6">
        <v>597.70000000000005</v>
      </c>
      <c r="K44" s="6">
        <v>0</v>
      </c>
      <c r="L44" s="6">
        <v>6162.2870000000003</v>
      </c>
      <c r="M44" s="7">
        <v>0</v>
      </c>
      <c r="N44" s="12" t="s">
        <v>53</v>
      </c>
      <c r="O44" s="6">
        <v>597.70000000000005</v>
      </c>
      <c r="P44" s="6">
        <v>597.70000000000005</v>
      </c>
      <c r="Q44" s="6">
        <v>6162.2870000000003</v>
      </c>
      <c r="R44" s="7">
        <v>0</v>
      </c>
      <c r="S44" s="12" t="s">
        <v>53</v>
      </c>
    </row>
    <row r="45" spans="1:19" x14ac:dyDescent="0.3">
      <c r="A45" s="9" t="s">
        <v>101</v>
      </c>
      <c r="B45" s="9" t="s">
        <v>102</v>
      </c>
      <c r="C45" s="9" t="s">
        <v>69</v>
      </c>
      <c r="D45" s="10">
        <v>10.31</v>
      </c>
      <c r="E45" s="11">
        <v>273</v>
      </c>
      <c r="F45" s="11">
        <v>0</v>
      </c>
      <c r="G45" s="11">
        <v>2814</v>
      </c>
      <c r="H45" s="7">
        <v>0</v>
      </c>
      <c r="I45" s="12" t="s">
        <v>53</v>
      </c>
      <c r="J45" s="11">
        <v>273</v>
      </c>
      <c r="K45" s="11">
        <v>0</v>
      </c>
      <c r="L45" s="11">
        <v>2814.0021000000002</v>
      </c>
      <c r="M45" s="7">
        <v>0</v>
      </c>
      <c r="N45" s="12" t="s">
        <v>53</v>
      </c>
      <c r="O45" s="11">
        <v>273</v>
      </c>
      <c r="P45" s="11">
        <v>0</v>
      </c>
      <c r="Q45" s="11">
        <v>2814.0021000000002</v>
      </c>
      <c r="R45" s="7">
        <v>0</v>
      </c>
      <c r="S45" s="12" t="s">
        <v>53</v>
      </c>
    </row>
    <row r="46" spans="1:19" x14ac:dyDescent="0.3">
      <c r="A46" s="4" t="s">
        <v>103</v>
      </c>
      <c r="B46" s="4" t="s">
        <v>104</v>
      </c>
      <c r="C46" s="4" t="s">
        <v>100</v>
      </c>
      <c r="D46" s="5">
        <v>10.33</v>
      </c>
      <c r="E46" s="6">
        <v>127</v>
      </c>
      <c r="F46" s="6">
        <v>0</v>
      </c>
      <c r="G46" s="6">
        <v>1312.16</v>
      </c>
      <c r="H46" s="7">
        <v>0</v>
      </c>
      <c r="I46" s="12" t="s">
        <v>53</v>
      </c>
      <c r="J46" s="6">
        <v>127</v>
      </c>
      <c r="K46" s="6">
        <v>0</v>
      </c>
      <c r="L46" s="6">
        <v>1312.164</v>
      </c>
      <c r="M46" s="7">
        <v>0</v>
      </c>
      <c r="N46" s="12" t="s">
        <v>53</v>
      </c>
      <c r="O46" s="6">
        <v>127</v>
      </c>
      <c r="P46" s="6">
        <v>127</v>
      </c>
      <c r="Q46" s="6">
        <v>1312.164</v>
      </c>
      <c r="R46" s="7">
        <v>0</v>
      </c>
      <c r="S46" s="12" t="s">
        <v>53</v>
      </c>
    </row>
    <row r="47" spans="1:19" x14ac:dyDescent="0.3">
      <c r="A47" s="9" t="s">
        <v>105</v>
      </c>
      <c r="B47" s="9" t="s">
        <v>106</v>
      </c>
      <c r="C47" s="9" t="s">
        <v>107</v>
      </c>
      <c r="D47" s="10">
        <v>15.55</v>
      </c>
      <c r="E47" s="11">
        <v>294</v>
      </c>
      <c r="F47" s="11">
        <v>0</v>
      </c>
      <c r="G47" s="11">
        <v>4571.7</v>
      </c>
      <c r="H47" s="7">
        <v>0</v>
      </c>
      <c r="I47" s="8" t="s">
        <v>16</v>
      </c>
      <c r="J47" s="11">
        <v>294</v>
      </c>
      <c r="K47" s="11">
        <v>0</v>
      </c>
      <c r="L47" s="11">
        <v>4571.7</v>
      </c>
      <c r="M47" s="7">
        <v>0</v>
      </c>
      <c r="N47" s="8" t="s">
        <v>16</v>
      </c>
      <c r="O47" s="11">
        <v>294</v>
      </c>
      <c r="P47" s="11">
        <v>142</v>
      </c>
      <c r="Q47" s="11">
        <v>4571.7</v>
      </c>
      <c r="R47" s="7">
        <v>0</v>
      </c>
      <c r="S47" s="8" t="s">
        <v>16</v>
      </c>
    </row>
    <row r="48" spans="1:19" x14ac:dyDescent="0.3">
      <c r="A48" s="32" t="s">
        <v>108</v>
      </c>
      <c r="B48" s="33"/>
      <c r="C48" s="33"/>
      <c r="D48" s="33"/>
      <c r="E48" s="14">
        <f>SUM(E4:E47)</f>
        <v>26839310.82</v>
      </c>
      <c r="F48" s="14">
        <f>SUM(F4:F47)</f>
        <v>0</v>
      </c>
      <c r="G48" s="14">
        <f>SUM(G4:G47)</f>
        <v>547223.64000000013</v>
      </c>
      <c r="H48" s="14">
        <f>AVERAGE(H4:H47)</f>
        <v>0</v>
      </c>
      <c r="I48" s="13" t="s">
        <v>109</v>
      </c>
      <c r="J48" s="14">
        <f>SUM(J4:J47)</f>
        <v>26839310.817000002</v>
      </c>
      <c r="K48" s="14">
        <f>SUM(K4:K47)</f>
        <v>0</v>
      </c>
      <c r="L48" s="14">
        <f>SUM(L4:L47)</f>
        <v>515965.5183</v>
      </c>
      <c r="M48" s="14">
        <f>AVERAGE(M4:M47)</f>
        <v>0</v>
      </c>
      <c r="N48" s="13" t="s">
        <v>109</v>
      </c>
      <c r="O48" s="14">
        <f>SUM(O4:O47)</f>
        <v>26839310.817000002</v>
      </c>
      <c r="P48" s="14">
        <f>SUM(P4:P47)</f>
        <v>17517454.240000002</v>
      </c>
      <c r="Q48" s="14">
        <f>SUM(Q4:Q47)</f>
        <v>515965.5183</v>
      </c>
      <c r="R48" s="14">
        <f>AVERAGE(R4:R47)</f>
        <v>0</v>
      </c>
      <c r="S48" s="13" t="s">
        <v>109</v>
      </c>
    </row>
  </sheetData>
  <mergeCells count="9">
    <mergeCell ref="O2:S2"/>
    <mergeCell ref="A48:D48"/>
    <mergeCell ref="A1:S1"/>
    <mergeCell ref="E2:I2"/>
    <mergeCell ref="J2:N2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47"/>
  <sheetViews>
    <sheetView workbookViewId="0">
      <pane xSplit="4" ySplit="3" topLeftCell="AN4" activePane="bottomRight" state="frozen"/>
      <selection pane="topRight"/>
      <selection pane="bottomLeft"/>
      <selection pane="bottomRight" activeCell="P2" sqref="P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4" t="s">
        <v>110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</row>
    <row r="2" spans="1:45" ht="18" customHeight="1" x14ac:dyDescent="0.3">
      <c r="A2" s="39" t="s">
        <v>1</v>
      </c>
      <c r="B2" s="39" t="s">
        <v>2</v>
      </c>
      <c r="C2" s="39" t="s">
        <v>3</v>
      </c>
      <c r="D2" s="39" t="s">
        <v>111</v>
      </c>
      <c r="E2" s="61" t="s">
        <v>112</v>
      </c>
      <c r="F2" s="62"/>
      <c r="G2" s="62"/>
      <c r="H2" s="62"/>
      <c r="I2" s="59" t="s">
        <v>113</v>
      </c>
      <c r="J2" s="60"/>
      <c r="K2" s="60"/>
      <c r="L2" s="60"/>
      <c r="M2" s="60"/>
      <c r="N2" s="60"/>
      <c r="O2" s="60"/>
      <c r="P2" s="53">
        <v>46034</v>
      </c>
      <c r="Q2" s="54"/>
      <c r="R2" s="54"/>
      <c r="S2" s="54"/>
      <c r="T2" s="55"/>
      <c r="U2" s="41">
        <v>46035</v>
      </c>
      <c r="V2" s="42"/>
      <c r="W2" s="42"/>
      <c r="X2" s="42"/>
      <c r="Y2" s="43"/>
      <c r="Z2" s="44">
        <v>46036</v>
      </c>
      <c r="AA2" s="45"/>
      <c r="AB2" s="45"/>
      <c r="AC2" s="45"/>
      <c r="AD2" s="46"/>
      <c r="AE2" s="50">
        <v>46037</v>
      </c>
      <c r="AF2" s="51"/>
      <c r="AG2" s="51"/>
      <c r="AH2" s="51"/>
      <c r="AI2" s="52"/>
      <c r="AJ2" s="56">
        <v>46038</v>
      </c>
      <c r="AK2" s="57"/>
      <c r="AL2" s="57"/>
      <c r="AM2" s="57"/>
      <c r="AN2" s="58"/>
      <c r="AO2" s="47">
        <v>46039</v>
      </c>
      <c r="AP2" s="48"/>
      <c r="AQ2" s="48"/>
      <c r="AR2" s="48"/>
      <c r="AS2" s="49"/>
    </row>
    <row r="3" spans="1:45" ht="28.05" customHeight="1" x14ac:dyDescent="0.3">
      <c r="A3" s="40"/>
      <c r="B3" s="40"/>
      <c r="C3" s="40"/>
      <c r="D3" s="40"/>
      <c r="E3" s="15" t="s">
        <v>8</v>
      </c>
      <c r="F3" s="15" t="s">
        <v>114</v>
      </c>
      <c r="G3" s="15" t="s">
        <v>10</v>
      </c>
      <c r="H3" s="15" t="s">
        <v>115</v>
      </c>
      <c r="I3" s="16" t="s">
        <v>116</v>
      </c>
      <c r="J3" s="17" t="s">
        <v>117</v>
      </c>
      <c r="K3" s="17" t="s">
        <v>118</v>
      </c>
      <c r="L3" s="17" t="s">
        <v>119</v>
      </c>
      <c r="M3" s="17" t="s">
        <v>120</v>
      </c>
      <c r="N3" s="17" t="s">
        <v>121</v>
      </c>
      <c r="O3" s="17" t="s">
        <v>122</v>
      </c>
      <c r="P3" s="18" t="s">
        <v>123</v>
      </c>
      <c r="Q3" s="18" t="s">
        <v>9</v>
      </c>
      <c r="R3" s="18" t="s">
        <v>124</v>
      </c>
      <c r="S3" s="18" t="s">
        <v>125</v>
      </c>
      <c r="T3" s="18" t="s">
        <v>126</v>
      </c>
      <c r="U3" s="19" t="s">
        <v>123</v>
      </c>
      <c r="V3" s="19" t="s">
        <v>9</v>
      </c>
      <c r="W3" s="19" t="s">
        <v>124</v>
      </c>
      <c r="X3" s="19" t="s">
        <v>125</v>
      </c>
      <c r="Y3" s="19" t="s">
        <v>126</v>
      </c>
      <c r="Z3" s="20" t="s">
        <v>123</v>
      </c>
      <c r="AA3" s="20" t="s">
        <v>9</v>
      </c>
      <c r="AB3" s="20" t="s">
        <v>124</v>
      </c>
      <c r="AC3" s="20" t="s">
        <v>125</v>
      </c>
      <c r="AD3" s="20" t="s">
        <v>126</v>
      </c>
      <c r="AE3" s="21" t="s">
        <v>123</v>
      </c>
      <c r="AF3" s="21" t="s">
        <v>9</v>
      </c>
      <c r="AG3" s="21" t="s">
        <v>124</v>
      </c>
      <c r="AH3" s="21" t="s">
        <v>125</v>
      </c>
      <c r="AI3" s="21" t="s">
        <v>126</v>
      </c>
      <c r="AJ3" s="22" t="s">
        <v>123</v>
      </c>
      <c r="AK3" s="22" t="s">
        <v>9</v>
      </c>
      <c r="AL3" s="22" t="s">
        <v>124</v>
      </c>
      <c r="AM3" s="22" t="s">
        <v>125</v>
      </c>
      <c r="AN3" s="22" t="s">
        <v>126</v>
      </c>
      <c r="AO3" s="23" t="s">
        <v>123</v>
      </c>
      <c r="AP3" s="23" t="s">
        <v>9</v>
      </c>
      <c r="AQ3" s="23" t="s">
        <v>124</v>
      </c>
      <c r="AR3" s="23" t="s">
        <v>125</v>
      </c>
      <c r="AS3" s="23" t="s">
        <v>126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4554000</v>
      </c>
      <c r="F4" s="6">
        <v>0</v>
      </c>
      <c r="G4" s="6">
        <v>11840.4</v>
      </c>
      <c r="H4" s="6">
        <v>22.14</v>
      </c>
      <c r="I4" s="8" t="s">
        <v>16</v>
      </c>
      <c r="J4" s="24">
        <v>0</v>
      </c>
      <c r="K4" s="24">
        <v>0</v>
      </c>
      <c r="L4" s="24">
        <v>0</v>
      </c>
      <c r="M4" s="24">
        <v>0</v>
      </c>
      <c r="N4" s="25">
        <v>1</v>
      </c>
      <c r="O4" s="25">
        <v>1</v>
      </c>
      <c r="P4" s="6">
        <v>4554000</v>
      </c>
      <c r="Q4" s="6">
        <v>0</v>
      </c>
      <c r="R4" s="6">
        <v>4554000</v>
      </c>
      <c r="S4" s="6">
        <v>0</v>
      </c>
      <c r="T4" s="7">
        <v>0</v>
      </c>
      <c r="U4" s="6">
        <v>4554000</v>
      </c>
      <c r="V4" s="6">
        <v>0</v>
      </c>
      <c r="W4" s="6">
        <v>4554000</v>
      </c>
      <c r="X4" s="6">
        <v>0</v>
      </c>
      <c r="Y4" s="7">
        <v>0</v>
      </c>
      <c r="Z4" s="6">
        <v>4554000</v>
      </c>
      <c r="AA4" s="6">
        <v>0</v>
      </c>
      <c r="AB4" s="6">
        <v>4554000</v>
      </c>
      <c r="AC4" s="6">
        <v>0</v>
      </c>
      <c r="AD4" s="7">
        <v>0</v>
      </c>
      <c r="AE4" s="6">
        <v>4554000</v>
      </c>
      <c r="AF4" s="6">
        <v>0</v>
      </c>
      <c r="AG4" s="6">
        <v>4554000</v>
      </c>
      <c r="AH4" s="6">
        <v>0</v>
      </c>
      <c r="AI4" s="7">
        <v>0</v>
      </c>
      <c r="AJ4" s="6">
        <v>4554000</v>
      </c>
      <c r="AK4" s="6">
        <v>0</v>
      </c>
      <c r="AL4" s="6">
        <v>4554000</v>
      </c>
      <c r="AM4" s="6">
        <v>0</v>
      </c>
      <c r="AN4" s="7">
        <v>0</v>
      </c>
      <c r="AO4" s="6">
        <v>4554000</v>
      </c>
      <c r="AP4" s="6">
        <v>0</v>
      </c>
      <c r="AQ4" s="6">
        <v>4554000</v>
      </c>
      <c r="AR4" s="6">
        <v>0</v>
      </c>
      <c r="AS4" s="7">
        <v>0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0</v>
      </c>
      <c r="E5" s="11">
        <v>1068000</v>
      </c>
      <c r="F5" s="11">
        <v>0</v>
      </c>
      <c r="G5" s="11">
        <v>3738</v>
      </c>
      <c r="H5" s="11">
        <v>22.14</v>
      </c>
      <c r="I5" s="8" t="s">
        <v>16</v>
      </c>
      <c r="J5" s="26">
        <v>0</v>
      </c>
      <c r="K5" s="26">
        <v>0</v>
      </c>
      <c r="L5" s="26">
        <v>0</v>
      </c>
      <c r="M5" s="26">
        <v>0</v>
      </c>
      <c r="N5" s="25">
        <v>1</v>
      </c>
      <c r="O5" s="25">
        <v>1</v>
      </c>
      <c r="P5" s="11">
        <v>1068000</v>
      </c>
      <c r="Q5" s="11">
        <v>0</v>
      </c>
      <c r="R5" s="11">
        <v>1068000</v>
      </c>
      <c r="S5" s="11">
        <v>0</v>
      </c>
      <c r="T5" s="7">
        <v>0</v>
      </c>
      <c r="U5" s="11">
        <v>1068000</v>
      </c>
      <c r="V5" s="11">
        <v>0</v>
      </c>
      <c r="W5" s="11">
        <v>1068000</v>
      </c>
      <c r="X5" s="11">
        <v>0</v>
      </c>
      <c r="Y5" s="7">
        <v>0</v>
      </c>
      <c r="Z5" s="11">
        <v>1068000</v>
      </c>
      <c r="AA5" s="11">
        <v>0</v>
      </c>
      <c r="AB5" s="11">
        <v>1068000</v>
      </c>
      <c r="AC5" s="11">
        <v>0</v>
      </c>
      <c r="AD5" s="7">
        <v>0</v>
      </c>
      <c r="AE5" s="11">
        <v>1068000</v>
      </c>
      <c r="AF5" s="11">
        <v>0</v>
      </c>
      <c r="AG5" s="11">
        <v>1068000</v>
      </c>
      <c r="AH5" s="11">
        <v>0</v>
      </c>
      <c r="AI5" s="7">
        <v>0</v>
      </c>
      <c r="AJ5" s="11">
        <v>1068000</v>
      </c>
      <c r="AK5" s="11">
        <v>0</v>
      </c>
      <c r="AL5" s="11">
        <v>1068000</v>
      </c>
      <c r="AM5" s="11">
        <v>0</v>
      </c>
      <c r="AN5" s="7">
        <v>0</v>
      </c>
      <c r="AO5" s="11">
        <v>1068000</v>
      </c>
      <c r="AP5" s="11">
        <v>0</v>
      </c>
      <c r="AQ5" s="11">
        <v>1068000</v>
      </c>
      <c r="AR5" s="11">
        <v>0</v>
      </c>
      <c r="AS5" s="7">
        <v>0</v>
      </c>
    </row>
    <row r="6" spans="1:45" x14ac:dyDescent="0.3">
      <c r="A6" s="4" t="s">
        <v>19</v>
      </c>
      <c r="B6" s="4" t="s">
        <v>20</v>
      </c>
      <c r="C6" s="4" t="s">
        <v>15</v>
      </c>
      <c r="D6" s="5">
        <v>0.02</v>
      </c>
      <c r="E6" s="6">
        <v>2982000</v>
      </c>
      <c r="F6" s="6">
        <v>0</v>
      </c>
      <c r="G6" s="6">
        <v>59640</v>
      </c>
      <c r="H6" s="6">
        <v>22.14</v>
      </c>
      <c r="I6" s="8" t="s">
        <v>16</v>
      </c>
      <c r="J6" s="24">
        <v>0</v>
      </c>
      <c r="K6" s="24">
        <v>0</v>
      </c>
      <c r="L6" s="24">
        <v>0</v>
      </c>
      <c r="M6" s="24">
        <v>0</v>
      </c>
      <c r="N6" s="25">
        <v>1</v>
      </c>
      <c r="O6" s="25">
        <v>1</v>
      </c>
      <c r="P6" s="6">
        <v>2982000</v>
      </c>
      <c r="Q6" s="6">
        <v>0</v>
      </c>
      <c r="R6" s="6">
        <v>2982000</v>
      </c>
      <c r="S6" s="6">
        <v>59640</v>
      </c>
      <c r="T6" s="7">
        <v>0</v>
      </c>
      <c r="U6" s="6">
        <v>2982000</v>
      </c>
      <c r="V6" s="6">
        <v>0</v>
      </c>
      <c r="W6" s="6">
        <v>2982000</v>
      </c>
      <c r="X6" s="6">
        <v>59640</v>
      </c>
      <c r="Y6" s="7">
        <v>0</v>
      </c>
      <c r="Z6" s="6">
        <v>2982000</v>
      </c>
      <c r="AA6" s="6">
        <v>0</v>
      </c>
      <c r="AB6" s="6">
        <v>2982000</v>
      </c>
      <c r="AC6" s="6">
        <v>59640</v>
      </c>
      <c r="AD6" s="7">
        <v>0</v>
      </c>
      <c r="AE6" s="6">
        <v>2982000</v>
      </c>
      <c r="AF6" s="6">
        <v>0</v>
      </c>
      <c r="AG6" s="6">
        <v>2982000</v>
      </c>
      <c r="AH6" s="6">
        <v>59640</v>
      </c>
      <c r="AI6" s="7">
        <v>0</v>
      </c>
      <c r="AJ6" s="6">
        <v>2982000</v>
      </c>
      <c r="AK6" s="6">
        <v>0</v>
      </c>
      <c r="AL6" s="6">
        <v>2982000</v>
      </c>
      <c r="AM6" s="6">
        <v>59640</v>
      </c>
      <c r="AN6" s="7">
        <v>0</v>
      </c>
      <c r="AO6" s="6">
        <v>2982000</v>
      </c>
      <c r="AP6" s="6">
        <v>0</v>
      </c>
      <c r="AQ6" s="6">
        <v>2982000</v>
      </c>
      <c r="AR6" s="6">
        <v>59640</v>
      </c>
      <c r="AS6" s="7">
        <v>0</v>
      </c>
    </row>
    <row r="7" spans="1:45" x14ac:dyDescent="0.3">
      <c r="A7" s="9" t="s">
        <v>21</v>
      </c>
      <c r="B7" s="9" t="s">
        <v>22</v>
      </c>
      <c r="C7" s="9" t="s">
        <v>15</v>
      </c>
      <c r="D7" s="10">
        <v>0.01</v>
      </c>
      <c r="E7" s="11">
        <v>458600</v>
      </c>
      <c r="F7" s="11">
        <v>0</v>
      </c>
      <c r="G7" s="11">
        <v>4586</v>
      </c>
      <c r="H7" s="11">
        <v>22.14</v>
      </c>
      <c r="I7" s="8" t="s">
        <v>16</v>
      </c>
      <c r="J7" s="26">
        <v>0</v>
      </c>
      <c r="K7" s="26">
        <v>0</v>
      </c>
      <c r="L7" s="26">
        <v>0</v>
      </c>
      <c r="M7" s="26">
        <v>0</v>
      </c>
      <c r="N7" s="25">
        <v>1</v>
      </c>
      <c r="O7" s="25">
        <v>1</v>
      </c>
      <c r="P7" s="11">
        <v>458600</v>
      </c>
      <c r="Q7" s="11">
        <v>0</v>
      </c>
      <c r="R7" s="11">
        <v>458600</v>
      </c>
      <c r="S7" s="11">
        <v>4586</v>
      </c>
      <c r="T7" s="7">
        <v>0</v>
      </c>
      <c r="U7" s="11">
        <v>458600</v>
      </c>
      <c r="V7" s="11">
        <v>0</v>
      </c>
      <c r="W7" s="11">
        <v>458600</v>
      </c>
      <c r="X7" s="11">
        <v>4586</v>
      </c>
      <c r="Y7" s="7">
        <v>0</v>
      </c>
      <c r="Z7" s="11">
        <v>458600</v>
      </c>
      <c r="AA7" s="11">
        <v>0</v>
      </c>
      <c r="AB7" s="11">
        <v>458600</v>
      </c>
      <c r="AC7" s="11">
        <v>4586</v>
      </c>
      <c r="AD7" s="7">
        <v>0</v>
      </c>
      <c r="AE7" s="11">
        <v>458600</v>
      </c>
      <c r="AF7" s="11">
        <v>0</v>
      </c>
      <c r="AG7" s="11">
        <v>458600</v>
      </c>
      <c r="AH7" s="11">
        <v>4586</v>
      </c>
      <c r="AI7" s="7">
        <v>0</v>
      </c>
      <c r="AJ7" s="11">
        <v>458600</v>
      </c>
      <c r="AK7" s="11">
        <v>0</v>
      </c>
      <c r="AL7" s="11">
        <v>458600</v>
      </c>
      <c r="AM7" s="11">
        <v>4586</v>
      </c>
      <c r="AN7" s="7">
        <v>0</v>
      </c>
      <c r="AO7" s="11">
        <v>458600</v>
      </c>
      <c r="AP7" s="11">
        <v>0</v>
      </c>
      <c r="AQ7" s="11">
        <v>458600</v>
      </c>
      <c r="AR7" s="11">
        <v>4586</v>
      </c>
      <c r="AS7" s="7">
        <v>0</v>
      </c>
    </row>
    <row r="8" spans="1:45" x14ac:dyDescent="0.3">
      <c r="A8" s="4" t="s">
        <v>23</v>
      </c>
      <c r="B8" s="4" t="s">
        <v>24</v>
      </c>
      <c r="C8" s="4" t="s">
        <v>15</v>
      </c>
      <c r="D8" s="5">
        <v>0.01</v>
      </c>
      <c r="E8" s="6">
        <v>332000</v>
      </c>
      <c r="F8" s="6">
        <v>0</v>
      </c>
      <c r="G8" s="6">
        <v>3320</v>
      </c>
      <c r="H8" s="6">
        <v>22.14</v>
      </c>
      <c r="I8" s="8" t="s">
        <v>16</v>
      </c>
      <c r="J8" s="24">
        <v>0</v>
      </c>
      <c r="K8" s="24">
        <v>0</v>
      </c>
      <c r="L8" s="24">
        <v>0</v>
      </c>
      <c r="M8" s="24">
        <v>0</v>
      </c>
      <c r="N8" s="25">
        <v>1</v>
      </c>
      <c r="O8" s="25">
        <v>1</v>
      </c>
      <c r="P8" s="6">
        <v>332000</v>
      </c>
      <c r="Q8" s="6">
        <v>0</v>
      </c>
      <c r="R8" s="6">
        <v>332000</v>
      </c>
      <c r="S8" s="6">
        <v>3320</v>
      </c>
      <c r="T8" s="7">
        <v>0</v>
      </c>
      <c r="U8" s="6">
        <v>332000</v>
      </c>
      <c r="V8" s="6">
        <v>0</v>
      </c>
      <c r="W8" s="6">
        <v>332000</v>
      </c>
      <c r="X8" s="6">
        <v>3320</v>
      </c>
      <c r="Y8" s="7">
        <v>0</v>
      </c>
      <c r="Z8" s="6">
        <v>332000</v>
      </c>
      <c r="AA8" s="6">
        <v>0</v>
      </c>
      <c r="AB8" s="6">
        <v>332000</v>
      </c>
      <c r="AC8" s="6">
        <v>3320</v>
      </c>
      <c r="AD8" s="7">
        <v>0</v>
      </c>
      <c r="AE8" s="6">
        <v>332000</v>
      </c>
      <c r="AF8" s="6">
        <v>0</v>
      </c>
      <c r="AG8" s="6">
        <v>332000</v>
      </c>
      <c r="AH8" s="6">
        <v>3320</v>
      </c>
      <c r="AI8" s="7">
        <v>0</v>
      </c>
      <c r="AJ8" s="6">
        <v>332000</v>
      </c>
      <c r="AK8" s="6">
        <v>0</v>
      </c>
      <c r="AL8" s="6">
        <v>332000</v>
      </c>
      <c r="AM8" s="6">
        <v>3320</v>
      </c>
      <c r="AN8" s="7">
        <v>0</v>
      </c>
      <c r="AO8" s="6">
        <v>332000</v>
      </c>
      <c r="AP8" s="6">
        <v>0</v>
      </c>
      <c r="AQ8" s="6">
        <v>332000</v>
      </c>
      <c r="AR8" s="6">
        <v>3320</v>
      </c>
      <c r="AS8" s="7">
        <v>0</v>
      </c>
    </row>
    <row r="9" spans="1:45" x14ac:dyDescent="0.3">
      <c r="A9" s="9" t="s">
        <v>25</v>
      </c>
      <c r="B9" s="9" t="s">
        <v>26</v>
      </c>
      <c r="C9" s="9" t="s">
        <v>15</v>
      </c>
      <c r="D9" s="10">
        <v>0.01</v>
      </c>
      <c r="E9" s="11">
        <v>1478000</v>
      </c>
      <c r="F9" s="11">
        <v>0</v>
      </c>
      <c r="G9" s="11">
        <v>14780</v>
      </c>
      <c r="H9" s="11">
        <v>22.14</v>
      </c>
      <c r="I9" s="8" t="s">
        <v>16</v>
      </c>
      <c r="J9" s="26">
        <v>0</v>
      </c>
      <c r="K9" s="26">
        <v>0</v>
      </c>
      <c r="L9" s="26">
        <v>0</v>
      </c>
      <c r="M9" s="26">
        <v>0</v>
      </c>
      <c r="N9" s="25">
        <v>1</v>
      </c>
      <c r="O9" s="25">
        <v>1</v>
      </c>
      <c r="P9" s="11">
        <v>1478000</v>
      </c>
      <c r="Q9" s="11">
        <v>0</v>
      </c>
      <c r="R9" s="11">
        <v>1478000</v>
      </c>
      <c r="S9" s="11">
        <v>14780</v>
      </c>
      <c r="T9" s="7">
        <v>0</v>
      </c>
      <c r="U9" s="11">
        <v>1478000</v>
      </c>
      <c r="V9" s="11">
        <v>0</v>
      </c>
      <c r="W9" s="11">
        <v>1478000</v>
      </c>
      <c r="X9" s="11">
        <v>14780</v>
      </c>
      <c r="Y9" s="7">
        <v>0</v>
      </c>
      <c r="Z9" s="11">
        <v>1478000</v>
      </c>
      <c r="AA9" s="11">
        <v>0</v>
      </c>
      <c r="AB9" s="11">
        <v>1478000</v>
      </c>
      <c r="AC9" s="11">
        <v>14780</v>
      </c>
      <c r="AD9" s="7">
        <v>0</v>
      </c>
      <c r="AE9" s="11">
        <v>1478000</v>
      </c>
      <c r="AF9" s="11">
        <v>0</v>
      </c>
      <c r="AG9" s="11">
        <v>1478000</v>
      </c>
      <c r="AH9" s="11">
        <v>14780</v>
      </c>
      <c r="AI9" s="7">
        <v>0</v>
      </c>
      <c r="AJ9" s="11">
        <v>1478000</v>
      </c>
      <c r="AK9" s="11">
        <v>0</v>
      </c>
      <c r="AL9" s="11">
        <v>1478000</v>
      </c>
      <c r="AM9" s="11">
        <v>14780</v>
      </c>
      <c r="AN9" s="7">
        <v>0</v>
      </c>
      <c r="AO9" s="11">
        <v>1478000</v>
      </c>
      <c r="AP9" s="11">
        <v>0</v>
      </c>
      <c r="AQ9" s="11">
        <v>1478000</v>
      </c>
      <c r="AR9" s="11">
        <v>14780</v>
      </c>
      <c r="AS9" s="7">
        <v>0</v>
      </c>
    </row>
    <row r="10" spans="1:45" x14ac:dyDescent="0.3">
      <c r="A10" s="4" t="s">
        <v>27</v>
      </c>
      <c r="B10" s="4" t="s">
        <v>28</v>
      </c>
      <c r="C10" s="4" t="s">
        <v>15</v>
      </c>
      <c r="D10" s="5">
        <v>0.01</v>
      </c>
      <c r="E10" s="6">
        <v>790000</v>
      </c>
      <c r="F10" s="6">
        <v>0</v>
      </c>
      <c r="G10" s="6">
        <v>7900</v>
      </c>
      <c r="H10" s="6">
        <v>22.14</v>
      </c>
      <c r="I10" s="8" t="s">
        <v>16</v>
      </c>
      <c r="J10" s="24">
        <v>0</v>
      </c>
      <c r="K10" s="24">
        <v>0</v>
      </c>
      <c r="L10" s="24">
        <v>0</v>
      </c>
      <c r="M10" s="24">
        <v>0</v>
      </c>
      <c r="N10" s="25">
        <v>1</v>
      </c>
      <c r="O10" s="25">
        <v>1</v>
      </c>
      <c r="P10" s="6">
        <v>790000</v>
      </c>
      <c r="Q10" s="6">
        <v>0</v>
      </c>
      <c r="R10" s="6">
        <v>790000</v>
      </c>
      <c r="S10" s="6">
        <v>7900</v>
      </c>
      <c r="T10" s="7">
        <v>0</v>
      </c>
      <c r="U10" s="6">
        <v>790000</v>
      </c>
      <c r="V10" s="6">
        <v>0</v>
      </c>
      <c r="W10" s="6">
        <v>790000</v>
      </c>
      <c r="X10" s="6">
        <v>7900</v>
      </c>
      <c r="Y10" s="7">
        <v>0</v>
      </c>
      <c r="Z10" s="6">
        <v>790000</v>
      </c>
      <c r="AA10" s="6">
        <v>0</v>
      </c>
      <c r="AB10" s="6">
        <v>790000</v>
      </c>
      <c r="AC10" s="6">
        <v>7900</v>
      </c>
      <c r="AD10" s="7">
        <v>0</v>
      </c>
      <c r="AE10" s="6">
        <v>790000</v>
      </c>
      <c r="AF10" s="6">
        <v>0</v>
      </c>
      <c r="AG10" s="6">
        <v>790000</v>
      </c>
      <c r="AH10" s="6">
        <v>7900</v>
      </c>
      <c r="AI10" s="7">
        <v>0</v>
      </c>
      <c r="AJ10" s="6">
        <v>790000</v>
      </c>
      <c r="AK10" s="6">
        <v>0</v>
      </c>
      <c r="AL10" s="6">
        <v>790000</v>
      </c>
      <c r="AM10" s="6">
        <v>7900</v>
      </c>
      <c r="AN10" s="7">
        <v>0</v>
      </c>
      <c r="AO10" s="6">
        <v>790000</v>
      </c>
      <c r="AP10" s="6">
        <v>0</v>
      </c>
      <c r="AQ10" s="6">
        <v>790000</v>
      </c>
      <c r="AR10" s="6">
        <v>7900</v>
      </c>
      <c r="AS10" s="7">
        <v>0</v>
      </c>
    </row>
    <row r="11" spans="1:45" x14ac:dyDescent="0.3">
      <c r="A11" s="9" t="s">
        <v>29</v>
      </c>
      <c r="B11" s="9" t="s">
        <v>30</v>
      </c>
      <c r="C11" s="9" t="s">
        <v>15</v>
      </c>
      <c r="D11" s="10">
        <v>0.01</v>
      </c>
      <c r="E11" s="11">
        <v>1180000</v>
      </c>
      <c r="F11" s="11">
        <v>0</v>
      </c>
      <c r="G11" s="11">
        <v>11800</v>
      </c>
      <c r="H11" s="11">
        <v>22.14</v>
      </c>
      <c r="I11" s="8" t="s">
        <v>16</v>
      </c>
      <c r="J11" s="26">
        <v>0</v>
      </c>
      <c r="K11" s="26">
        <v>0</v>
      </c>
      <c r="L11" s="26">
        <v>0</v>
      </c>
      <c r="M11" s="26">
        <v>0</v>
      </c>
      <c r="N11" s="25">
        <v>1</v>
      </c>
      <c r="O11" s="25">
        <v>1</v>
      </c>
      <c r="P11" s="11">
        <v>1180000</v>
      </c>
      <c r="Q11" s="11">
        <v>0</v>
      </c>
      <c r="R11" s="11">
        <v>1180000</v>
      </c>
      <c r="S11" s="11">
        <v>11800</v>
      </c>
      <c r="T11" s="7">
        <v>0</v>
      </c>
      <c r="U11" s="11">
        <v>1180000</v>
      </c>
      <c r="V11" s="11">
        <v>0</v>
      </c>
      <c r="W11" s="11">
        <v>1180000</v>
      </c>
      <c r="X11" s="11">
        <v>11800</v>
      </c>
      <c r="Y11" s="7">
        <v>0</v>
      </c>
      <c r="Z11" s="11">
        <v>1180000</v>
      </c>
      <c r="AA11" s="11">
        <v>0</v>
      </c>
      <c r="AB11" s="11">
        <v>1180000</v>
      </c>
      <c r="AC11" s="11">
        <v>11800</v>
      </c>
      <c r="AD11" s="7">
        <v>0</v>
      </c>
      <c r="AE11" s="11">
        <v>1180000</v>
      </c>
      <c r="AF11" s="11">
        <v>0</v>
      </c>
      <c r="AG11" s="11">
        <v>1180000</v>
      </c>
      <c r="AH11" s="11">
        <v>11800</v>
      </c>
      <c r="AI11" s="7">
        <v>0</v>
      </c>
      <c r="AJ11" s="11">
        <v>1180000</v>
      </c>
      <c r="AK11" s="11">
        <v>0</v>
      </c>
      <c r="AL11" s="11">
        <v>1180000</v>
      </c>
      <c r="AM11" s="11">
        <v>11800</v>
      </c>
      <c r="AN11" s="7">
        <v>0</v>
      </c>
      <c r="AO11" s="11">
        <v>1180000</v>
      </c>
      <c r="AP11" s="11">
        <v>0</v>
      </c>
      <c r="AQ11" s="11">
        <v>1180000</v>
      </c>
      <c r="AR11" s="11">
        <v>11800</v>
      </c>
      <c r="AS11" s="7">
        <v>0</v>
      </c>
    </row>
    <row r="12" spans="1:45" x14ac:dyDescent="0.3">
      <c r="A12" s="4" t="s">
        <v>31</v>
      </c>
      <c r="B12" s="4" t="s">
        <v>32</v>
      </c>
      <c r="C12" s="4" t="s">
        <v>15</v>
      </c>
      <c r="D12" s="5">
        <v>0.01</v>
      </c>
      <c r="E12" s="6">
        <v>683200</v>
      </c>
      <c r="F12" s="6">
        <v>0</v>
      </c>
      <c r="G12" s="6">
        <v>6832</v>
      </c>
      <c r="H12" s="6">
        <v>22.14</v>
      </c>
      <c r="I12" s="8" t="s">
        <v>16</v>
      </c>
      <c r="J12" s="24">
        <v>0</v>
      </c>
      <c r="K12" s="24">
        <v>0</v>
      </c>
      <c r="L12" s="24">
        <v>0</v>
      </c>
      <c r="M12" s="24">
        <v>0</v>
      </c>
      <c r="N12" s="25">
        <v>1</v>
      </c>
      <c r="O12" s="25">
        <v>1</v>
      </c>
      <c r="P12" s="6">
        <v>683200</v>
      </c>
      <c r="Q12" s="6">
        <v>0</v>
      </c>
      <c r="R12" s="6">
        <v>683200</v>
      </c>
      <c r="S12" s="6">
        <v>6832</v>
      </c>
      <c r="T12" s="7">
        <v>0</v>
      </c>
      <c r="U12" s="6">
        <v>683200</v>
      </c>
      <c r="V12" s="6">
        <v>0</v>
      </c>
      <c r="W12" s="6">
        <v>683200</v>
      </c>
      <c r="X12" s="6">
        <v>6832</v>
      </c>
      <c r="Y12" s="7">
        <v>0</v>
      </c>
      <c r="Z12" s="6">
        <v>683200</v>
      </c>
      <c r="AA12" s="6">
        <v>0</v>
      </c>
      <c r="AB12" s="6">
        <v>683200</v>
      </c>
      <c r="AC12" s="6">
        <v>6832</v>
      </c>
      <c r="AD12" s="7">
        <v>0</v>
      </c>
      <c r="AE12" s="6">
        <v>683200</v>
      </c>
      <c r="AF12" s="6">
        <v>0</v>
      </c>
      <c r="AG12" s="6">
        <v>683200</v>
      </c>
      <c r="AH12" s="6">
        <v>6832</v>
      </c>
      <c r="AI12" s="7">
        <v>0</v>
      </c>
      <c r="AJ12" s="6">
        <v>683200</v>
      </c>
      <c r="AK12" s="6">
        <v>0</v>
      </c>
      <c r="AL12" s="6">
        <v>683200</v>
      </c>
      <c r="AM12" s="6">
        <v>6832</v>
      </c>
      <c r="AN12" s="7">
        <v>0</v>
      </c>
      <c r="AO12" s="6">
        <v>683200</v>
      </c>
      <c r="AP12" s="6">
        <v>0</v>
      </c>
      <c r="AQ12" s="6">
        <v>683200</v>
      </c>
      <c r="AR12" s="6">
        <v>6832</v>
      </c>
      <c r="AS12" s="7">
        <v>0</v>
      </c>
    </row>
    <row r="13" spans="1:45" x14ac:dyDescent="0.3">
      <c r="A13" s="9" t="s">
        <v>33</v>
      </c>
      <c r="B13" s="9" t="s">
        <v>34</v>
      </c>
      <c r="C13" s="9" t="s">
        <v>15</v>
      </c>
      <c r="D13" s="10">
        <v>0.01</v>
      </c>
      <c r="E13" s="11">
        <v>2045000</v>
      </c>
      <c r="F13" s="11">
        <v>0</v>
      </c>
      <c r="G13" s="11">
        <v>20450</v>
      </c>
      <c r="H13" s="11">
        <v>22.14</v>
      </c>
      <c r="I13" s="8" t="s">
        <v>16</v>
      </c>
      <c r="J13" s="26">
        <v>0</v>
      </c>
      <c r="K13" s="26">
        <v>0</v>
      </c>
      <c r="L13" s="26">
        <v>0</v>
      </c>
      <c r="M13" s="26">
        <v>0</v>
      </c>
      <c r="N13" s="25">
        <v>1</v>
      </c>
      <c r="O13" s="25">
        <v>1</v>
      </c>
      <c r="P13" s="11">
        <v>2045000</v>
      </c>
      <c r="Q13" s="11">
        <v>0</v>
      </c>
      <c r="R13" s="11">
        <v>2045000</v>
      </c>
      <c r="S13" s="11">
        <v>20450</v>
      </c>
      <c r="T13" s="7">
        <v>0</v>
      </c>
      <c r="U13" s="11">
        <v>2045000</v>
      </c>
      <c r="V13" s="11">
        <v>0</v>
      </c>
      <c r="W13" s="11">
        <v>2045000</v>
      </c>
      <c r="X13" s="11">
        <v>20450</v>
      </c>
      <c r="Y13" s="7">
        <v>0</v>
      </c>
      <c r="Z13" s="11">
        <v>2045000</v>
      </c>
      <c r="AA13" s="11">
        <v>0</v>
      </c>
      <c r="AB13" s="11">
        <v>2045000</v>
      </c>
      <c r="AC13" s="11">
        <v>20450</v>
      </c>
      <c r="AD13" s="7">
        <v>0</v>
      </c>
      <c r="AE13" s="11">
        <v>2045000</v>
      </c>
      <c r="AF13" s="11">
        <v>0</v>
      </c>
      <c r="AG13" s="11">
        <v>2045000</v>
      </c>
      <c r="AH13" s="11">
        <v>20450</v>
      </c>
      <c r="AI13" s="7">
        <v>0</v>
      </c>
      <c r="AJ13" s="11">
        <v>2045000</v>
      </c>
      <c r="AK13" s="11">
        <v>0</v>
      </c>
      <c r="AL13" s="11">
        <v>2045000</v>
      </c>
      <c r="AM13" s="11">
        <v>20450</v>
      </c>
      <c r="AN13" s="7">
        <v>0</v>
      </c>
      <c r="AO13" s="11">
        <v>2045000</v>
      </c>
      <c r="AP13" s="11">
        <v>0</v>
      </c>
      <c r="AQ13" s="11">
        <v>2045000</v>
      </c>
      <c r="AR13" s="11">
        <v>20450</v>
      </c>
      <c r="AS13" s="7">
        <v>0</v>
      </c>
    </row>
    <row r="14" spans="1:45" x14ac:dyDescent="0.3">
      <c r="A14" s="4" t="s">
        <v>35</v>
      </c>
      <c r="B14" s="4" t="s">
        <v>36</v>
      </c>
      <c r="C14" s="4" t="s">
        <v>15</v>
      </c>
      <c r="D14" s="5">
        <v>0.01</v>
      </c>
      <c r="E14" s="6">
        <v>307000</v>
      </c>
      <c r="F14" s="6">
        <v>0</v>
      </c>
      <c r="G14" s="6">
        <v>3070</v>
      </c>
      <c r="H14" s="6">
        <v>22.14</v>
      </c>
      <c r="I14" s="8" t="s">
        <v>16</v>
      </c>
      <c r="J14" s="24">
        <v>0</v>
      </c>
      <c r="K14" s="24">
        <v>0</v>
      </c>
      <c r="L14" s="24">
        <v>0</v>
      </c>
      <c r="M14" s="24">
        <v>0</v>
      </c>
      <c r="N14" s="25">
        <v>1</v>
      </c>
      <c r="O14" s="25">
        <v>1</v>
      </c>
      <c r="P14" s="6">
        <v>307000</v>
      </c>
      <c r="Q14" s="6">
        <v>0</v>
      </c>
      <c r="R14" s="6">
        <v>307000</v>
      </c>
      <c r="S14" s="6">
        <v>3070</v>
      </c>
      <c r="T14" s="7">
        <v>0</v>
      </c>
      <c r="U14" s="6">
        <v>307000</v>
      </c>
      <c r="V14" s="6">
        <v>0</v>
      </c>
      <c r="W14" s="6">
        <v>307000</v>
      </c>
      <c r="X14" s="6">
        <v>3070</v>
      </c>
      <c r="Y14" s="7">
        <v>0</v>
      </c>
      <c r="Z14" s="6">
        <v>307000</v>
      </c>
      <c r="AA14" s="6">
        <v>0</v>
      </c>
      <c r="AB14" s="6">
        <v>307000</v>
      </c>
      <c r="AC14" s="6">
        <v>3070</v>
      </c>
      <c r="AD14" s="7">
        <v>0</v>
      </c>
      <c r="AE14" s="6">
        <v>307000</v>
      </c>
      <c r="AF14" s="6">
        <v>0</v>
      </c>
      <c r="AG14" s="6">
        <v>307000</v>
      </c>
      <c r="AH14" s="6">
        <v>3070</v>
      </c>
      <c r="AI14" s="7">
        <v>0</v>
      </c>
      <c r="AJ14" s="6">
        <v>307000</v>
      </c>
      <c r="AK14" s="6">
        <v>0</v>
      </c>
      <c r="AL14" s="6">
        <v>307000</v>
      </c>
      <c r="AM14" s="6">
        <v>3070</v>
      </c>
      <c r="AN14" s="7">
        <v>0</v>
      </c>
      <c r="AO14" s="6">
        <v>307000</v>
      </c>
      <c r="AP14" s="6">
        <v>0</v>
      </c>
      <c r="AQ14" s="6">
        <v>307000</v>
      </c>
      <c r="AR14" s="6">
        <v>3070</v>
      </c>
      <c r="AS14" s="7">
        <v>0</v>
      </c>
    </row>
    <row r="15" spans="1:45" x14ac:dyDescent="0.3">
      <c r="A15" s="9" t="s">
        <v>37</v>
      </c>
      <c r="B15" s="9" t="s">
        <v>38</v>
      </c>
      <c r="C15" s="9" t="s">
        <v>15</v>
      </c>
      <c r="D15" s="10">
        <v>0</v>
      </c>
      <c r="E15" s="11">
        <v>360000</v>
      </c>
      <c r="F15" s="11">
        <v>0</v>
      </c>
      <c r="G15" s="11">
        <v>1620</v>
      </c>
      <c r="H15" s="11">
        <v>22.14</v>
      </c>
      <c r="I15" s="8" t="s">
        <v>16</v>
      </c>
      <c r="J15" s="26">
        <v>0</v>
      </c>
      <c r="K15" s="26">
        <v>0</v>
      </c>
      <c r="L15" s="26">
        <v>0</v>
      </c>
      <c r="M15" s="26">
        <v>0</v>
      </c>
      <c r="N15" s="25">
        <v>1</v>
      </c>
      <c r="O15" s="25">
        <v>1</v>
      </c>
      <c r="P15" s="11">
        <v>360000</v>
      </c>
      <c r="Q15" s="11">
        <v>0</v>
      </c>
      <c r="R15" s="11">
        <v>360000</v>
      </c>
      <c r="S15" s="11">
        <v>0</v>
      </c>
      <c r="T15" s="7">
        <v>0</v>
      </c>
      <c r="U15" s="11">
        <v>360000</v>
      </c>
      <c r="V15" s="11">
        <v>0</v>
      </c>
      <c r="W15" s="11">
        <v>360000</v>
      </c>
      <c r="X15" s="11">
        <v>0</v>
      </c>
      <c r="Y15" s="7">
        <v>0</v>
      </c>
      <c r="Z15" s="11">
        <v>360000</v>
      </c>
      <c r="AA15" s="11">
        <v>0</v>
      </c>
      <c r="AB15" s="11">
        <v>360000</v>
      </c>
      <c r="AC15" s="11">
        <v>0</v>
      </c>
      <c r="AD15" s="7">
        <v>0</v>
      </c>
      <c r="AE15" s="11">
        <v>360000</v>
      </c>
      <c r="AF15" s="11">
        <v>0</v>
      </c>
      <c r="AG15" s="11">
        <v>360000</v>
      </c>
      <c r="AH15" s="11">
        <v>0</v>
      </c>
      <c r="AI15" s="7">
        <v>0</v>
      </c>
      <c r="AJ15" s="11">
        <v>360000</v>
      </c>
      <c r="AK15" s="11">
        <v>0</v>
      </c>
      <c r="AL15" s="11">
        <v>360000</v>
      </c>
      <c r="AM15" s="11">
        <v>0</v>
      </c>
      <c r="AN15" s="7">
        <v>0</v>
      </c>
      <c r="AO15" s="11">
        <v>360000</v>
      </c>
      <c r="AP15" s="11">
        <v>0</v>
      </c>
      <c r="AQ15" s="11">
        <v>360000</v>
      </c>
      <c r="AR15" s="11">
        <v>0</v>
      </c>
      <c r="AS15" s="7">
        <v>0</v>
      </c>
    </row>
    <row r="16" spans="1:45" x14ac:dyDescent="0.3">
      <c r="A16" s="4" t="s">
        <v>39</v>
      </c>
      <c r="B16" s="4" t="s">
        <v>40</v>
      </c>
      <c r="C16" s="4" t="s">
        <v>15</v>
      </c>
      <c r="D16" s="5">
        <v>0</v>
      </c>
      <c r="E16" s="6">
        <v>2360000</v>
      </c>
      <c r="F16" s="6">
        <v>0</v>
      </c>
      <c r="G16" s="6">
        <v>8968</v>
      </c>
      <c r="H16" s="6">
        <v>22.14</v>
      </c>
      <c r="I16" s="8" t="s">
        <v>16</v>
      </c>
      <c r="J16" s="24">
        <v>0</v>
      </c>
      <c r="K16" s="24">
        <v>0</v>
      </c>
      <c r="L16" s="24">
        <v>0</v>
      </c>
      <c r="M16" s="24">
        <v>0</v>
      </c>
      <c r="N16" s="25">
        <v>1</v>
      </c>
      <c r="O16" s="25">
        <v>1</v>
      </c>
      <c r="P16" s="6">
        <v>2360000</v>
      </c>
      <c r="Q16" s="6">
        <v>0</v>
      </c>
      <c r="R16" s="6">
        <v>2360000</v>
      </c>
      <c r="S16" s="6">
        <v>0</v>
      </c>
      <c r="T16" s="7">
        <v>0</v>
      </c>
      <c r="U16" s="6">
        <v>2360000</v>
      </c>
      <c r="V16" s="6">
        <v>0</v>
      </c>
      <c r="W16" s="6">
        <v>2360000</v>
      </c>
      <c r="X16" s="6">
        <v>0</v>
      </c>
      <c r="Y16" s="7">
        <v>0</v>
      </c>
      <c r="Z16" s="6">
        <v>2360000</v>
      </c>
      <c r="AA16" s="6">
        <v>0</v>
      </c>
      <c r="AB16" s="6">
        <v>2360000</v>
      </c>
      <c r="AC16" s="6">
        <v>0</v>
      </c>
      <c r="AD16" s="7">
        <v>0</v>
      </c>
      <c r="AE16" s="6">
        <v>2360000</v>
      </c>
      <c r="AF16" s="6">
        <v>0</v>
      </c>
      <c r="AG16" s="6">
        <v>2360000</v>
      </c>
      <c r="AH16" s="6">
        <v>0</v>
      </c>
      <c r="AI16" s="7">
        <v>0</v>
      </c>
      <c r="AJ16" s="6">
        <v>2360000</v>
      </c>
      <c r="AK16" s="6">
        <v>0</v>
      </c>
      <c r="AL16" s="6">
        <v>2360000</v>
      </c>
      <c r="AM16" s="6">
        <v>0</v>
      </c>
      <c r="AN16" s="7">
        <v>0</v>
      </c>
      <c r="AO16" s="6">
        <v>2360000</v>
      </c>
      <c r="AP16" s="6">
        <v>0</v>
      </c>
      <c r="AQ16" s="6">
        <v>2360000</v>
      </c>
      <c r="AR16" s="6">
        <v>0</v>
      </c>
      <c r="AS16" s="7">
        <v>0</v>
      </c>
    </row>
    <row r="17" spans="1:45" x14ac:dyDescent="0.3">
      <c r="A17" s="9" t="s">
        <v>41</v>
      </c>
      <c r="B17" s="9" t="s">
        <v>42</v>
      </c>
      <c r="C17" s="9" t="s">
        <v>15</v>
      </c>
      <c r="D17" s="10">
        <v>0</v>
      </c>
      <c r="E17" s="11">
        <v>2174000</v>
      </c>
      <c r="F17" s="11">
        <v>0</v>
      </c>
      <c r="G17" s="11">
        <v>8696</v>
      </c>
      <c r="H17" s="11">
        <v>22.14</v>
      </c>
      <c r="I17" s="8" t="s">
        <v>16</v>
      </c>
      <c r="J17" s="26">
        <v>0</v>
      </c>
      <c r="K17" s="26">
        <v>0</v>
      </c>
      <c r="L17" s="26">
        <v>0</v>
      </c>
      <c r="M17" s="26">
        <v>0</v>
      </c>
      <c r="N17" s="25">
        <v>1</v>
      </c>
      <c r="O17" s="25">
        <v>1</v>
      </c>
      <c r="P17" s="11">
        <v>2174000</v>
      </c>
      <c r="Q17" s="11">
        <v>0</v>
      </c>
      <c r="R17" s="11">
        <v>2174000</v>
      </c>
      <c r="S17" s="11">
        <v>0</v>
      </c>
      <c r="T17" s="7">
        <v>0</v>
      </c>
      <c r="U17" s="11">
        <v>2174000</v>
      </c>
      <c r="V17" s="11">
        <v>0</v>
      </c>
      <c r="W17" s="11">
        <v>2174000</v>
      </c>
      <c r="X17" s="11">
        <v>0</v>
      </c>
      <c r="Y17" s="7">
        <v>0</v>
      </c>
      <c r="Z17" s="11">
        <v>2174000</v>
      </c>
      <c r="AA17" s="11">
        <v>0</v>
      </c>
      <c r="AB17" s="11">
        <v>2174000</v>
      </c>
      <c r="AC17" s="11">
        <v>0</v>
      </c>
      <c r="AD17" s="7">
        <v>0</v>
      </c>
      <c r="AE17" s="11">
        <v>2174000</v>
      </c>
      <c r="AF17" s="11">
        <v>0</v>
      </c>
      <c r="AG17" s="11">
        <v>2174000</v>
      </c>
      <c r="AH17" s="11">
        <v>0</v>
      </c>
      <c r="AI17" s="7">
        <v>0</v>
      </c>
      <c r="AJ17" s="11">
        <v>2174000</v>
      </c>
      <c r="AK17" s="11">
        <v>0</v>
      </c>
      <c r="AL17" s="11">
        <v>2174000</v>
      </c>
      <c r="AM17" s="11">
        <v>0</v>
      </c>
      <c r="AN17" s="7">
        <v>0</v>
      </c>
      <c r="AO17" s="11">
        <v>2174000</v>
      </c>
      <c r="AP17" s="11">
        <v>0</v>
      </c>
      <c r="AQ17" s="11">
        <v>2174000</v>
      </c>
      <c r="AR17" s="11">
        <v>0</v>
      </c>
      <c r="AS17" s="7">
        <v>0</v>
      </c>
    </row>
    <row r="18" spans="1:45" x14ac:dyDescent="0.3">
      <c r="A18" s="4" t="s">
        <v>43</v>
      </c>
      <c r="B18" s="4" t="s">
        <v>44</v>
      </c>
      <c r="C18" s="4" t="s">
        <v>15</v>
      </c>
      <c r="D18" s="5">
        <v>0.01</v>
      </c>
      <c r="E18" s="6">
        <v>2286000</v>
      </c>
      <c r="F18" s="6">
        <v>0</v>
      </c>
      <c r="G18" s="6">
        <v>22860</v>
      </c>
      <c r="H18" s="6">
        <v>22.14</v>
      </c>
      <c r="I18" s="8" t="s">
        <v>16</v>
      </c>
      <c r="J18" s="24">
        <v>0</v>
      </c>
      <c r="K18" s="24">
        <v>0</v>
      </c>
      <c r="L18" s="24">
        <v>0</v>
      </c>
      <c r="M18" s="24">
        <v>0</v>
      </c>
      <c r="N18" s="25">
        <v>1</v>
      </c>
      <c r="O18" s="25">
        <v>1</v>
      </c>
      <c r="P18" s="6">
        <v>2286000</v>
      </c>
      <c r="Q18" s="6">
        <v>0</v>
      </c>
      <c r="R18" s="6">
        <v>2286000</v>
      </c>
      <c r="S18" s="6">
        <v>22860</v>
      </c>
      <c r="T18" s="7">
        <v>0</v>
      </c>
      <c r="U18" s="6">
        <v>2286000</v>
      </c>
      <c r="V18" s="6">
        <v>0</v>
      </c>
      <c r="W18" s="6">
        <v>2286000</v>
      </c>
      <c r="X18" s="6">
        <v>22860</v>
      </c>
      <c r="Y18" s="7">
        <v>0</v>
      </c>
      <c r="Z18" s="6">
        <v>2286000</v>
      </c>
      <c r="AA18" s="6">
        <v>0</v>
      </c>
      <c r="AB18" s="6">
        <v>2286000</v>
      </c>
      <c r="AC18" s="6">
        <v>22860</v>
      </c>
      <c r="AD18" s="7">
        <v>0</v>
      </c>
      <c r="AE18" s="6">
        <v>2286000</v>
      </c>
      <c r="AF18" s="6">
        <v>0</v>
      </c>
      <c r="AG18" s="6">
        <v>2286000</v>
      </c>
      <c r="AH18" s="6">
        <v>22860</v>
      </c>
      <c r="AI18" s="7">
        <v>0</v>
      </c>
      <c r="AJ18" s="6">
        <v>2286000</v>
      </c>
      <c r="AK18" s="6">
        <v>0</v>
      </c>
      <c r="AL18" s="6">
        <v>2286000</v>
      </c>
      <c r="AM18" s="6">
        <v>22860</v>
      </c>
      <c r="AN18" s="7">
        <v>0</v>
      </c>
      <c r="AO18" s="6">
        <v>2286000</v>
      </c>
      <c r="AP18" s="6">
        <v>0</v>
      </c>
      <c r="AQ18" s="6">
        <v>2286000</v>
      </c>
      <c r="AR18" s="6">
        <v>22860</v>
      </c>
      <c r="AS18" s="7">
        <v>0</v>
      </c>
    </row>
    <row r="19" spans="1:45" x14ac:dyDescent="0.3">
      <c r="A19" s="9" t="s">
        <v>45</v>
      </c>
      <c r="B19" s="9" t="s">
        <v>46</v>
      </c>
      <c r="C19" s="9" t="s">
        <v>15</v>
      </c>
      <c r="D19" s="10">
        <v>0.02</v>
      </c>
      <c r="E19" s="11">
        <v>2018000</v>
      </c>
      <c r="F19" s="11">
        <v>0</v>
      </c>
      <c r="G19" s="11">
        <v>40360</v>
      </c>
      <c r="H19" s="11">
        <v>22.14</v>
      </c>
      <c r="I19" s="8" t="s">
        <v>16</v>
      </c>
      <c r="J19" s="26">
        <v>0</v>
      </c>
      <c r="K19" s="26">
        <v>0</v>
      </c>
      <c r="L19" s="26">
        <v>0</v>
      </c>
      <c r="M19" s="26">
        <v>0</v>
      </c>
      <c r="N19" s="25">
        <v>1</v>
      </c>
      <c r="O19" s="25">
        <v>1</v>
      </c>
      <c r="P19" s="11">
        <v>2018000</v>
      </c>
      <c r="Q19" s="11">
        <v>0</v>
      </c>
      <c r="R19" s="11">
        <v>2018000</v>
      </c>
      <c r="S19" s="11">
        <v>40360</v>
      </c>
      <c r="T19" s="7">
        <v>0</v>
      </c>
      <c r="U19" s="11">
        <v>2018000</v>
      </c>
      <c r="V19" s="11">
        <v>0</v>
      </c>
      <c r="W19" s="11">
        <v>2018000</v>
      </c>
      <c r="X19" s="11">
        <v>40360</v>
      </c>
      <c r="Y19" s="7">
        <v>0</v>
      </c>
      <c r="Z19" s="11">
        <v>2018000</v>
      </c>
      <c r="AA19" s="11">
        <v>0</v>
      </c>
      <c r="AB19" s="11">
        <v>2018000</v>
      </c>
      <c r="AC19" s="11">
        <v>40360</v>
      </c>
      <c r="AD19" s="7">
        <v>0</v>
      </c>
      <c r="AE19" s="11">
        <v>2018000</v>
      </c>
      <c r="AF19" s="11">
        <v>0</v>
      </c>
      <c r="AG19" s="11">
        <v>2018000</v>
      </c>
      <c r="AH19" s="11">
        <v>40360</v>
      </c>
      <c r="AI19" s="7">
        <v>0</v>
      </c>
      <c r="AJ19" s="11">
        <v>2018000</v>
      </c>
      <c r="AK19" s="11">
        <v>0</v>
      </c>
      <c r="AL19" s="11">
        <v>2018000</v>
      </c>
      <c r="AM19" s="11">
        <v>40360</v>
      </c>
      <c r="AN19" s="7">
        <v>0</v>
      </c>
      <c r="AO19" s="11">
        <v>2018000</v>
      </c>
      <c r="AP19" s="11">
        <v>0</v>
      </c>
      <c r="AQ19" s="11">
        <v>2018000</v>
      </c>
      <c r="AR19" s="11">
        <v>40360</v>
      </c>
      <c r="AS19" s="7">
        <v>0</v>
      </c>
    </row>
    <row r="20" spans="1:45" x14ac:dyDescent="0.3">
      <c r="A20" s="4" t="s">
        <v>47</v>
      </c>
      <c r="B20" s="4" t="s">
        <v>48</v>
      </c>
      <c r="C20" s="4" t="s">
        <v>15</v>
      </c>
      <c r="D20" s="5">
        <v>7.0000000000000007E-2</v>
      </c>
      <c r="E20" s="6">
        <v>62000</v>
      </c>
      <c r="F20" s="6">
        <v>0</v>
      </c>
      <c r="G20" s="6">
        <v>4526</v>
      </c>
      <c r="H20" s="6">
        <v>22.14</v>
      </c>
      <c r="I20" s="8" t="s">
        <v>16</v>
      </c>
      <c r="J20" s="24">
        <v>0</v>
      </c>
      <c r="K20" s="24">
        <v>0</v>
      </c>
      <c r="L20" s="24">
        <v>0</v>
      </c>
      <c r="M20" s="24">
        <v>0</v>
      </c>
      <c r="N20" s="25">
        <v>1</v>
      </c>
      <c r="O20" s="25">
        <v>1</v>
      </c>
      <c r="P20" s="6">
        <v>62000</v>
      </c>
      <c r="Q20" s="6">
        <v>0</v>
      </c>
      <c r="R20" s="6">
        <v>62000</v>
      </c>
      <c r="S20" s="6">
        <v>4340</v>
      </c>
      <c r="T20" s="7">
        <v>0</v>
      </c>
      <c r="U20" s="6">
        <v>62000</v>
      </c>
      <c r="V20" s="6">
        <v>0</v>
      </c>
      <c r="W20" s="6">
        <v>62000</v>
      </c>
      <c r="X20" s="6">
        <v>4340</v>
      </c>
      <c r="Y20" s="7">
        <v>0</v>
      </c>
      <c r="Z20" s="6">
        <v>62000</v>
      </c>
      <c r="AA20" s="6">
        <v>0</v>
      </c>
      <c r="AB20" s="6">
        <v>62000</v>
      </c>
      <c r="AC20" s="6">
        <v>4340</v>
      </c>
      <c r="AD20" s="7">
        <v>0</v>
      </c>
      <c r="AE20" s="6">
        <v>62000</v>
      </c>
      <c r="AF20" s="6">
        <v>0</v>
      </c>
      <c r="AG20" s="6">
        <v>62000</v>
      </c>
      <c r="AH20" s="6">
        <v>4340</v>
      </c>
      <c r="AI20" s="7">
        <v>0</v>
      </c>
      <c r="AJ20" s="6">
        <v>62000</v>
      </c>
      <c r="AK20" s="6">
        <v>0</v>
      </c>
      <c r="AL20" s="6">
        <v>62000</v>
      </c>
      <c r="AM20" s="6">
        <v>4340</v>
      </c>
      <c r="AN20" s="7">
        <v>0</v>
      </c>
      <c r="AO20" s="6">
        <v>62000</v>
      </c>
      <c r="AP20" s="6">
        <v>0</v>
      </c>
      <c r="AQ20" s="6">
        <v>62000</v>
      </c>
      <c r="AR20" s="6">
        <v>4340</v>
      </c>
      <c r="AS20" s="7">
        <v>0</v>
      </c>
    </row>
    <row r="21" spans="1:45" x14ac:dyDescent="0.3">
      <c r="A21" s="9" t="s">
        <v>49</v>
      </c>
      <c r="B21" s="9" t="s">
        <v>50</v>
      </c>
      <c r="C21" s="9" t="s">
        <v>15</v>
      </c>
      <c r="D21" s="10">
        <v>0.01</v>
      </c>
      <c r="E21" s="11">
        <v>89420</v>
      </c>
      <c r="F21" s="11">
        <v>0</v>
      </c>
      <c r="G21" s="11">
        <v>894.2</v>
      </c>
      <c r="H21" s="11">
        <v>22.14</v>
      </c>
      <c r="I21" s="8" t="s">
        <v>16</v>
      </c>
      <c r="J21" s="26">
        <v>0</v>
      </c>
      <c r="K21" s="26">
        <v>0</v>
      </c>
      <c r="L21" s="26">
        <v>0</v>
      </c>
      <c r="M21" s="26">
        <v>0</v>
      </c>
      <c r="N21" s="25">
        <v>1</v>
      </c>
      <c r="O21" s="25">
        <v>1</v>
      </c>
      <c r="P21" s="11">
        <v>89420</v>
      </c>
      <c r="Q21" s="11">
        <v>0</v>
      </c>
      <c r="R21" s="11">
        <v>89420</v>
      </c>
      <c r="S21" s="11">
        <v>894.2</v>
      </c>
      <c r="T21" s="7">
        <v>0</v>
      </c>
      <c r="U21" s="11">
        <v>89420</v>
      </c>
      <c r="V21" s="11">
        <v>0</v>
      </c>
      <c r="W21" s="11">
        <v>89420</v>
      </c>
      <c r="X21" s="11">
        <v>894.2</v>
      </c>
      <c r="Y21" s="7">
        <v>0</v>
      </c>
      <c r="Z21" s="11">
        <v>89420</v>
      </c>
      <c r="AA21" s="11">
        <v>0</v>
      </c>
      <c r="AB21" s="11">
        <v>89420</v>
      </c>
      <c r="AC21" s="11">
        <v>894.2</v>
      </c>
      <c r="AD21" s="7">
        <v>0</v>
      </c>
      <c r="AE21" s="11">
        <v>89420</v>
      </c>
      <c r="AF21" s="11">
        <v>0</v>
      </c>
      <c r="AG21" s="11">
        <v>89420</v>
      </c>
      <c r="AH21" s="11">
        <v>894.2</v>
      </c>
      <c r="AI21" s="7">
        <v>0</v>
      </c>
      <c r="AJ21" s="11">
        <v>89420</v>
      </c>
      <c r="AK21" s="11">
        <v>0</v>
      </c>
      <c r="AL21" s="11">
        <v>89420</v>
      </c>
      <c r="AM21" s="11">
        <v>894.2</v>
      </c>
      <c r="AN21" s="7">
        <v>0</v>
      </c>
      <c r="AO21" s="11">
        <v>89420</v>
      </c>
      <c r="AP21" s="11">
        <v>0</v>
      </c>
      <c r="AQ21" s="11">
        <v>89420</v>
      </c>
      <c r="AR21" s="11">
        <v>894.2</v>
      </c>
      <c r="AS21" s="7">
        <v>0</v>
      </c>
    </row>
    <row r="22" spans="1:45" x14ac:dyDescent="0.3">
      <c r="A22" s="4" t="s">
        <v>51</v>
      </c>
      <c r="B22" s="4" t="s">
        <v>52</v>
      </c>
      <c r="C22" s="4" t="s">
        <v>15</v>
      </c>
      <c r="D22" s="5">
        <v>0.2</v>
      </c>
      <c r="E22" s="6">
        <v>114561</v>
      </c>
      <c r="F22" s="6">
        <v>0</v>
      </c>
      <c r="G22" s="6">
        <v>23381.9</v>
      </c>
      <c r="H22" s="6">
        <v>22.14</v>
      </c>
      <c r="I22" s="12" t="s">
        <v>53</v>
      </c>
      <c r="J22" s="24">
        <v>0</v>
      </c>
      <c r="K22" s="24">
        <v>0</v>
      </c>
      <c r="L22" s="27">
        <v>1</v>
      </c>
      <c r="M22" s="24">
        <v>0</v>
      </c>
      <c r="N22" s="24">
        <v>0</v>
      </c>
      <c r="O22" s="27">
        <v>1</v>
      </c>
      <c r="P22" s="6">
        <v>114561</v>
      </c>
      <c r="Q22" s="6">
        <v>0</v>
      </c>
      <c r="R22" s="6">
        <v>114561</v>
      </c>
      <c r="S22" s="6">
        <v>22912.2</v>
      </c>
      <c r="T22" s="7">
        <v>0</v>
      </c>
      <c r="U22" s="6">
        <v>114561</v>
      </c>
      <c r="V22" s="6">
        <v>0</v>
      </c>
      <c r="W22" s="6">
        <v>114561</v>
      </c>
      <c r="X22" s="6">
        <v>22912.2</v>
      </c>
      <c r="Y22" s="7">
        <v>0</v>
      </c>
      <c r="Z22" s="6">
        <v>114561</v>
      </c>
      <c r="AA22" s="6">
        <v>0</v>
      </c>
      <c r="AB22" s="6">
        <v>114561</v>
      </c>
      <c r="AC22" s="6">
        <v>22912.2</v>
      </c>
      <c r="AD22" s="7">
        <v>0</v>
      </c>
      <c r="AE22" s="6">
        <v>114561</v>
      </c>
      <c r="AF22" s="6">
        <v>0</v>
      </c>
      <c r="AG22" s="6">
        <v>114561</v>
      </c>
      <c r="AH22" s="6">
        <v>22912.2</v>
      </c>
      <c r="AI22" s="7">
        <v>0</v>
      </c>
      <c r="AJ22" s="6">
        <v>114561</v>
      </c>
      <c r="AK22" s="6">
        <v>0</v>
      </c>
      <c r="AL22" s="6">
        <v>114561</v>
      </c>
      <c r="AM22" s="6">
        <v>22912.2</v>
      </c>
      <c r="AN22" s="7">
        <v>0</v>
      </c>
      <c r="AO22" s="6">
        <v>114561</v>
      </c>
      <c r="AP22" s="6">
        <v>0</v>
      </c>
      <c r="AQ22" s="6">
        <v>114561</v>
      </c>
      <c r="AR22" s="6">
        <v>22912.2</v>
      </c>
      <c r="AS22" s="7">
        <v>0</v>
      </c>
    </row>
    <row r="23" spans="1:45" x14ac:dyDescent="0.3">
      <c r="A23" s="9" t="s">
        <v>54</v>
      </c>
      <c r="B23" s="9" t="s">
        <v>55</v>
      </c>
      <c r="C23" s="9" t="s">
        <v>15</v>
      </c>
      <c r="D23" s="10">
        <v>0.28999999999999998</v>
      </c>
      <c r="E23" s="11">
        <v>95882</v>
      </c>
      <c r="F23" s="11">
        <v>0</v>
      </c>
      <c r="G23" s="11">
        <v>27431.84</v>
      </c>
      <c r="H23" s="11">
        <v>22.14</v>
      </c>
      <c r="I23" s="12" t="s">
        <v>53</v>
      </c>
      <c r="J23" s="26">
        <v>0</v>
      </c>
      <c r="K23" s="26">
        <v>0</v>
      </c>
      <c r="L23" s="27">
        <v>1</v>
      </c>
      <c r="M23" s="26">
        <v>0</v>
      </c>
      <c r="N23" s="26">
        <v>0</v>
      </c>
      <c r="O23" s="27">
        <v>1</v>
      </c>
      <c r="P23" s="11">
        <v>95882</v>
      </c>
      <c r="Q23" s="11">
        <v>0</v>
      </c>
      <c r="R23" s="11">
        <v>95882</v>
      </c>
      <c r="S23" s="11">
        <v>27805.78</v>
      </c>
      <c r="T23" s="7">
        <v>0</v>
      </c>
      <c r="U23" s="11">
        <v>95882</v>
      </c>
      <c r="V23" s="11">
        <v>0</v>
      </c>
      <c r="W23" s="11">
        <v>95882</v>
      </c>
      <c r="X23" s="11">
        <v>27805.78</v>
      </c>
      <c r="Y23" s="7">
        <v>0</v>
      </c>
      <c r="Z23" s="11">
        <v>95882</v>
      </c>
      <c r="AA23" s="11">
        <v>0</v>
      </c>
      <c r="AB23" s="11">
        <v>95882</v>
      </c>
      <c r="AC23" s="11">
        <v>27805.78</v>
      </c>
      <c r="AD23" s="7">
        <v>0</v>
      </c>
      <c r="AE23" s="11">
        <v>95882</v>
      </c>
      <c r="AF23" s="11">
        <v>0</v>
      </c>
      <c r="AG23" s="11">
        <v>95882</v>
      </c>
      <c r="AH23" s="11">
        <v>27805.78</v>
      </c>
      <c r="AI23" s="7">
        <v>0</v>
      </c>
      <c r="AJ23" s="11">
        <v>95882</v>
      </c>
      <c r="AK23" s="11">
        <v>0</v>
      </c>
      <c r="AL23" s="11">
        <v>95882</v>
      </c>
      <c r="AM23" s="11">
        <v>27805.78</v>
      </c>
      <c r="AN23" s="7">
        <v>0</v>
      </c>
      <c r="AO23" s="11">
        <v>95882</v>
      </c>
      <c r="AP23" s="11">
        <v>0</v>
      </c>
      <c r="AQ23" s="11">
        <v>95882</v>
      </c>
      <c r="AR23" s="11">
        <v>27805.78</v>
      </c>
      <c r="AS23" s="7">
        <v>0</v>
      </c>
    </row>
    <row r="24" spans="1:45" x14ac:dyDescent="0.3">
      <c r="A24" s="4" t="s">
        <v>56</v>
      </c>
      <c r="B24" s="4" t="s">
        <v>57</v>
      </c>
      <c r="C24" s="4" t="s">
        <v>15</v>
      </c>
      <c r="D24" s="5">
        <v>0.04</v>
      </c>
      <c r="E24" s="6">
        <v>169272</v>
      </c>
      <c r="F24" s="6">
        <v>0</v>
      </c>
      <c r="G24" s="6">
        <v>7092.5</v>
      </c>
      <c r="H24" s="6">
        <v>22.14</v>
      </c>
      <c r="I24" s="12" t="s">
        <v>53</v>
      </c>
      <c r="J24" s="24">
        <v>0</v>
      </c>
      <c r="K24" s="24">
        <v>0</v>
      </c>
      <c r="L24" s="27">
        <v>1</v>
      </c>
      <c r="M24" s="24">
        <v>0</v>
      </c>
      <c r="N24" s="24">
        <v>0</v>
      </c>
      <c r="O24" s="27">
        <v>1</v>
      </c>
      <c r="P24" s="6">
        <v>169272</v>
      </c>
      <c r="Q24" s="6">
        <v>0</v>
      </c>
      <c r="R24" s="6">
        <v>169272</v>
      </c>
      <c r="S24" s="6">
        <v>6770.88</v>
      </c>
      <c r="T24" s="7">
        <v>0</v>
      </c>
      <c r="U24" s="6">
        <v>169272</v>
      </c>
      <c r="V24" s="6">
        <v>0</v>
      </c>
      <c r="W24" s="6">
        <v>169272</v>
      </c>
      <c r="X24" s="6">
        <v>6770.88</v>
      </c>
      <c r="Y24" s="7">
        <v>0</v>
      </c>
      <c r="Z24" s="6">
        <v>169272</v>
      </c>
      <c r="AA24" s="6">
        <v>0</v>
      </c>
      <c r="AB24" s="6">
        <v>169272</v>
      </c>
      <c r="AC24" s="6">
        <v>6770.88</v>
      </c>
      <c r="AD24" s="7">
        <v>0</v>
      </c>
      <c r="AE24" s="6">
        <v>169272</v>
      </c>
      <c r="AF24" s="6">
        <v>0</v>
      </c>
      <c r="AG24" s="6">
        <v>169272</v>
      </c>
      <c r="AH24" s="6">
        <v>6770.88</v>
      </c>
      <c r="AI24" s="7">
        <v>0</v>
      </c>
      <c r="AJ24" s="6">
        <v>169272</v>
      </c>
      <c r="AK24" s="6">
        <v>0</v>
      </c>
      <c r="AL24" s="6">
        <v>169272</v>
      </c>
      <c r="AM24" s="6">
        <v>6770.88</v>
      </c>
      <c r="AN24" s="7">
        <v>0</v>
      </c>
      <c r="AO24" s="6">
        <v>169272</v>
      </c>
      <c r="AP24" s="6">
        <v>0</v>
      </c>
      <c r="AQ24" s="6">
        <v>169272</v>
      </c>
      <c r="AR24" s="6">
        <v>6770.88</v>
      </c>
      <c r="AS24" s="7">
        <v>0</v>
      </c>
    </row>
    <row r="25" spans="1:45" x14ac:dyDescent="0.3">
      <c r="A25" s="9" t="s">
        <v>58</v>
      </c>
      <c r="B25" s="9" t="s">
        <v>59</v>
      </c>
      <c r="C25" s="9" t="s">
        <v>60</v>
      </c>
      <c r="D25" s="10">
        <v>0.06</v>
      </c>
      <c r="E25" s="11">
        <v>47842</v>
      </c>
      <c r="F25" s="11">
        <v>0</v>
      </c>
      <c r="G25" s="11">
        <v>2722.21</v>
      </c>
      <c r="H25" s="11">
        <v>0.86</v>
      </c>
      <c r="I25" s="12" t="s">
        <v>53</v>
      </c>
      <c r="J25" s="26">
        <v>0</v>
      </c>
      <c r="K25" s="26">
        <v>0</v>
      </c>
      <c r="L25" s="27">
        <v>1</v>
      </c>
      <c r="M25" s="26">
        <v>0</v>
      </c>
      <c r="N25" s="26">
        <v>0</v>
      </c>
      <c r="O25" s="27">
        <v>1</v>
      </c>
      <c r="P25" s="11">
        <v>47842</v>
      </c>
      <c r="Q25" s="11">
        <v>0</v>
      </c>
      <c r="R25" s="11">
        <v>47842</v>
      </c>
      <c r="S25" s="11">
        <v>2870.52</v>
      </c>
      <c r="T25" s="7">
        <v>0</v>
      </c>
      <c r="U25" s="11">
        <v>47842</v>
      </c>
      <c r="V25" s="11">
        <v>0</v>
      </c>
      <c r="W25" s="11">
        <v>47842</v>
      </c>
      <c r="X25" s="11">
        <v>2870.52</v>
      </c>
      <c r="Y25" s="7">
        <v>0</v>
      </c>
      <c r="Z25" s="11">
        <v>47842</v>
      </c>
      <c r="AA25" s="11">
        <v>0</v>
      </c>
      <c r="AB25" s="11">
        <v>47842</v>
      </c>
      <c r="AC25" s="11">
        <v>2870.52</v>
      </c>
      <c r="AD25" s="7">
        <v>0</v>
      </c>
      <c r="AE25" s="11">
        <v>47842</v>
      </c>
      <c r="AF25" s="11">
        <v>0</v>
      </c>
      <c r="AG25" s="11">
        <v>47842</v>
      </c>
      <c r="AH25" s="11">
        <v>2870.52</v>
      </c>
      <c r="AI25" s="7">
        <v>0</v>
      </c>
      <c r="AJ25" s="11">
        <v>47842</v>
      </c>
      <c r="AK25" s="11">
        <v>0</v>
      </c>
      <c r="AL25" s="11">
        <v>47842</v>
      </c>
      <c r="AM25" s="11">
        <v>2870.52</v>
      </c>
      <c r="AN25" s="7">
        <v>0</v>
      </c>
      <c r="AO25" s="11">
        <v>47842</v>
      </c>
      <c r="AP25" s="11">
        <v>0</v>
      </c>
      <c r="AQ25" s="11">
        <v>47842</v>
      </c>
      <c r="AR25" s="11">
        <v>2870.52</v>
      </c>
      <c r="AS25" s="7">
        <v>0</v>
      </c>
    </row>
    <row r="26" spans="1:45" x14ac:dyDescent="0.3">
      <c r="A26" s="4" t="s">
        <v>61</v>
      </c>
      <c r="B26" s="4" t="s">
        <v>62</v>
      </c>
      <c r="C26" s="4" t="s">
        <v>15</v>
      </c>
      <c r="D26" s="5">
        <v>0.03</v>
      </c>
      <c r="E26" s="6">
        <v>256000</v>
      </c>
      <c r="F26" s="6">
        <v>0</v>
      </c>
      <c r="G26" s="6">
        <v>7091.2</v>
      </c>
      <c r="H26" s="6">
        <v>22.14</v>
      </c>
      <c r="I26" s="8" t="s">
        <v>16</v>
      </c>
      <c r="J26" s="24">
        <v>0</v>
      </c>
      <c r="K26" s="24">
        <v>0</v>
      </c>
      <c r="L26" s="24">
        <v>0</v>
      </c>
      <c r="M26" s="24">
        <v>0</v>
      </c>
      <c r="N26" s="25">
        <v>1</v>
      </c>
      <c r="O26" s="25">
        <v>1</v>
      </c>
      <c r="P26" s="6">
        <v>256000</v>
      </c>
      <c r="Q26" s="6">
        <v>0</v>
      </c>
      <c r="R26" s="6">
        <v>256000</v>
      </c>
      <c r="S26" s="6">
        <v>7680</v>
      </c>
      <c r="T26" s="7">
        <v>0</v>
      </c>
      <c r="U26" s="6">
        <v>256000</v>
      </c>
      <c r="V26" s="6">
        <v>0</v>
      </c>
      <c r="W26" s="6">
        <v>256000</v>
      </c>
      <c r="X26" s="6">
        <v>7680</v>
      </c>
      <c r="Y26" s="7">
        <v>0</v>
      </c>
      <c r="Z26" s="6">
        <v>256000</v>
      </c>
      <c r="AA26" s="6">
        <v>0</v>
      </c>
      <c r="AB26" s="6">
        <v>256000</v>
      </c>
      <c r="AC26" s="6">
        <v>7680</v>
      </c>
      <c r="AD26" s="7">
        <v>0</v>
      </c>
      <c r="AE26" s="6">
        <v>256000</v>
      </c>
      <c r="AF26" s="6">
        <v>0</v>
      </c>
      <c r="AG26" s="6">
        <v>256000</v>
      </c>
      <c r="AH26" s="6">
        <v>7680</v>
      </c>
      <c r="AI26" s="7">
        <v>0</v>
      </c>
      <c r="AJ26" s="6">
        <v>256000</v>
      </c>
      <c r="AK26" s="6">
        <v>0</v>
      </c>
      <c r="AL26" s="6">
        <v>256000</v>
      </c>
      <c r="AM26" s="6">
        <v>7680</v>
      </c>
      <c r="AN26" s="7">
        <v>0</v>
      </c>
      <c r="AO26" s="6">
        <v>256000</v>
      </c>
      <c r="AP26" s="6">
        <v>0</v>
      </c>
      <c r="AQ26" s="6">
        <v>256000</v>
      </c>
      <c r="AR26" s="6">
        <v>7680</v>
      </c>
      <c r="AS26" s="7">
        <v>0</v>
      </c>
    </row>
    <row r="27" spans="1:45" x14ac:dyDescent="0.3">
      <c r="A27" s="9" t="s">
        <v>63</v>
      </c>
      <c r="B27" s="9" t="s">
        <v>64</v>
      </c>
      <c r="C27" s="9" t="s">
        <v>15</v>
      </c>
      <c r="D27" s="10">
        <v>0.01</v>
      </c>
      <c r="E27" s="11">
        <v>160000</v>
      </c>
      <c r="F27" s="11">
        <v>0</v>
      </c>
      <c r="G27" s="11">
        <v>1600</v>
      </c>
      <c r="H27" s="11">
        <v>22.14</v>
      </c>
      <c r="I27" s="12" t="s">
        <v>53</v>
      </c>
      <c r="J27" s="26">
        <v>0</v>
      </c>
      <c r="K27" s="26">
        <v>0</v>
      </c>
      <c r="L27" s="27">
        <v>1</v>
      </c>
      <c r="M27" s="26">
        <v>0</v>
      </c>
      <c r="N27" s="26">
        <v>0</v>
      </c>
      <c r="O27" s="27">
        <v>1</v>
      </c>
      <c r="P27" s="11">
        <v>160000</v>
      </c>
      <c r="Q27" s="11">
        <v>0</v>
      </c>
      <c r="R27" s="11">
        <v>160000</v>
      </c>
      <c r="S27" s="11">
        <v>1600</v>
      </c>
      <c r="T27" s="7">
        <v>0</v>
      </c>
      <c r="U27" s="11">
        <v>160000</v>
      </c>
      <c r="V27" s="11">
        <v>0</v>
      </c>
      <c r="W27" s="11">
        <v>160000</v>
      </c>
      <c r="X27" s="11">
        <v>1600</v>
      </c>
      <c r="Y27" s="7">
        <v>0</v>
      </c>
      <c r="Z27" s="11">
        <v>160000</v>
      </c>
      <c r="AA27" s="11">
        <v>0</v>
      </c>
      <c r="AB27" s="11">
        <v>160000</v>
      </c>
      <c r="AC27" s="11">
        <v>1600</v>
      </c>
      <c r="AD27" s="7">
        <v>0</v>
      </c>
      <c r="AE27" s="11">
        <v>160000</v>
      </c>
      <c r="AF27" s="11">
        <v>0</v>
      </c>
      <c r="AG27" s="11">
        <v>160000</v>
      </c>
      <c r="AH27" s="11">
        <v>1600</v>
      </c>
      <c r="AI27" s="7">
        <v>0</v>
      </c>
      <c r="AJ27" s="11">
        <v>160000</v>
      </c>
      <c r="AK27" s="11">
        <v>0</v>
      </c>
      <c r="AL27" s="11">
        <v>160000</v>
      </c>
      <c r="AM27" s="11">
        <v>1600</v>
      </c>
      <c r="AN27" s="7">
        <v>0</v>
      </c>
      <c r="AO27" s="11">
        <v>160000</v>
      </c>
      <c r="AP27" s="11">
        <v>0</v>
      </c>
      <c r="AQ27" s="11">
        <v>160000</v>
      </c>
      <c r="AR27" s="11">
        <v>1600</v>
      </c>
      <c r="AS27" s="7">
        <v>0</v>
      </c>
    </row>
    <row r="28" spans="1:45" x14ac:dyDescent="0.3">
      <c r="A28" s="4" t="s">
        <v>65</v>
      </c>
      <c r="B28" s="4" t="s">
        <v>66</v>
      </c>
      <c r="C28" s="4" t="s">
        <v>15</v>
      </c>
      <c r="D28" s="5">
        <v>0.01</v>
      </c>
      <c r="E28" s="6">
        <v>200000</v>
      </c>
      <c r="F28" s="6">
        <v>0</v>
      </c>
      <c r="G28" s="6">
        <v>2000</v>
      </c>
      <c r="H28" s="6">
        <v>22.14</v>
      </c>
      <c r="I28" s="12" t="s">
        <v>53</v>
      </c>
      <c r="J28" s="24">
        <v>0</v>
      </c>
      <c r="K28" s="24">
        <v>0</v>
      </c>
      <c r="L28" s="27">
        <v>1</v>
      </c>
      <c r="M28" s="24">
        <v>0</v>
      </c>
      <c r="N28" s="24">
        <v>0</v>
      </c>
      <c r="O28" s="27">
        <v>1</v>
      </c>
      <c r="P28" s="6">
        <v>200000</v>
      </c>
      <c r="Q28" s="6">
        <v>0</v>
      </c>
      <c r="R28" s="6">
        <v>200000</v>
      </c>
      <c r="S28" s="6">
        <v>2000</v>
      </c>
      <c r="T28" s="7">
        <v>0</v>
      </c>
      <c r="U28" s="6">
        <v>200000</v>
      </c>
      <c r="V28" s="6">
        <v>0</v>
      </c>
      <c r="W28" s="6">
        <v>200000</v>
      </c>
      <c r="X28" s="6">
        <v>2000</v>
      </c>
      <c r="Y28" s="7">
        <v>0</v>
      </c>
      <c r="Z28" s="6">
        <v>200000</v>
      </c>
      <c r="AA28" s="6">
        <v>0</v>
      </c>
      <c r="AB28" s="6">
        <v>200000</v>
      </c>
      <c r="AC28" s="6">
        <v>2000</v>
      </c>
      <c r="AD28" s="7">
        <v>0</v>
      </c>
      <c r="AE28" s="6">
        <v>200000</v>
      </c>
      <c r="AF28" s="6">
        <v>0</v>
      </c>
      <c r="AG28" s="6">
        <v>200000</v>
      </c>
      <c r="AH28" s="6">
        <v>2000</v>
      </c>
      <c r="AI28" s="7">
        <v>0</v>
      </c>
      <c r="AJ28" s="6">
        <v>200000</v>
      </c>
      <c r="AK28" s="6">
        <v>0</v>
      </c>
      <c r="AL28" s="6">
        <v>200000</v>
      </c>
      <c r="AM28" s="6">
        <v>2000</v>
      </c>
      <c r="AN28" s="7">
        <v>0</v>
      </c>
      <c r="AO28" s="6">
        <v>200000</v>
      </c>
      <c r="AP28" s="6">
        <v>0</v>
      </c>
      <c r="AQ28" s="6">
        <v>200000</v>
      </c>
      <c r="AR28" s="6">
        <v>2000</v>
      </c>
      <c r="AS28" s="7">
        <v>0</v>
      </c>
    </row>
    <row r="29" spans="1:45" x14ac:dyDescent="0.3">
      <c r="A29" s="9" t="s">
        <v>67</v>
      </c>
      <c r="B29" s="9" t="s">
        <v>68</v>
      </c>
      <c r="C29" s="9" t="s">
        <v>69</v>
      </c>
      <c r="D29" s="10">
        <v>10.42</v>
      </c>
      <c r="E29" s="11">
        <v>7820</v>
      </c>
      <c r="F29" s="11">
        <v>0</v>
      </c>
      <c r="G29" s="11">
        <v>81484.399999999994</v>
      </c>
      <c r="H29" s="11">
        <v>0.36</v>
      </c>
      <c r="I29" s="8" t="s">
        <v>16</v>
      </c>
      <c r="J29" s="26">
        <v>0</v>
      </c>
      <c r="K29" s="26">
        <v>0</v>
      </c>
      <c r="L29" s="26">
        <v>0</v>
      </c>
      <c r="M29" s="26">
        <v>0</v>
      </c>
      <c r="N29" s="25">
        <v>1</v>
      </c>
      <c r="O29" s="25">
        <v>1</v>
      </c>
      <c r="P29" s="11">
        <v>7820</v>
      </c>
      <c r="Q29" s="11">
        <v>0</v>
      </c>
      <c r="R29" s="11">
        <v>7820</v>
      </c>
      <c r="S29" s="11">
        <v>81484.399999999994</v>
      </c>
      <c r="T29" s="7">
        <v>0</v>
      </c>
      <c r="U29" s="11">
        <v>7820</v>
      </c>
      <c r="V29" s="11">
        <v>0</v>
      </c>
      <c r="W29" s="11">
        <v>7820</v>
      </c>
      <c r="X29" s="11">
        <v>81484.399999999994</v>
      </c>
      <c r="Y29" s="7">
        <v>0</v>
      </c>
      <c r="Z29" s="11">
        <v>7820</v>
      </c>
      <c r="AA29" s="11">
        <v>0</v>
      </c>
      <c r="AB29" s="11">
        <v>7820</v>
      </c>
      <c r="AC29" s="11">
        <v>81484.399999999994</v>
      </c>
      <c r="AD29" s="7">
        <v>0</v>
      </c>
      <c r="AE29" s="11">
        <v>7820</v>
      </c>
      <c r="AF29" s="11">
        <v>0</v>
      </c>
      <c r="AG29" s="11">
        <v>7820</v>
      </c>
      <c r="AH29" s="11">
        <v>81484.399999999994</v>
      </c>
      <c r="AI29" s="7">
        <v>0</v>
      </c>
      <c r="AJ29" s="11">
        <v>7820</v>
      </c>
      <c r="AK29" s="11">
        <v>0</v>
      </c>
      <c r="AL29" s="11">
        <v>7820</v>
      </c>
      <c r="AM29" s="11">
        <v>81484.399999999994</v>
      </c>
      <c r="AN29" s="7">
        <v>0</v>
      </c>
      <c r="AO29" s="11">
        <v>7820</v>
      </c>
      <c r="AP29" s="11">
        <v>0</v>
      </c>
      <c r="AQ29" s="11">
        <v>7820</v>
      </c>
      <c r="AR29" s="11">
        <v>81484.399999999994</v>
      </c>
      <c r="AS29" s="7">
        <v>0</v>
      </c>
    </row>
    <row r="30" spans="1:45" x14ac:dyDescent="0.3">
      <c r="A30" s="4" t="s">
        <v>70</v>
      </c>
      <c r="B30" s="4" t="s">
        <v>71</v>
      </c>
      <c r="C30" s="4" t="s">
        <v>15</v>
      </c>
      <c r="D30" s="5">
        <v>0.03</v>
      </c>
      <c r="E30" s="6">
        <v>547500</v>
      </c>
      <c r="F30" s="6">
        <v>0</v>
      </c>
      <c r="G30" s="6">
        <v>16698.75</v>
      </c>
      <c r="H30" s="6">
        <v>22.14</v>
      </c>
      <c r="I30" s="12" t="s">
        <v>53</v>
      </c>
      <c r="J30" s="24">
        <v>0</v>
      </c>
      <c r="K30" s="24">
        <v>0</v>
      </c>
      <c r="L30" s="27">
        <v>1</v>
      </c>
      <c r="M30" s="24">
        <v>0</v>
      </c>
      <c r="N30" s="24">
        <v>0</v>
      </c>
      <c r="O30" s="27">
        <v>1</v>
      </c>
      <c r="P30" s="6">
        <v>547500</v>
      </c>
      <c r="Q30" s="6">
        <v>0</v>
      </c>
      <c r="R30" s="6">
        <v>547500</v>
      </c>
      <c r="S30" s="6">
        <v>16425</v>
      </c>
      <c r="T30" s="7">
        <v>0</v>
      </c>
      <c r="U30" s="6">
        <v>547500</v>
      </c>
      <c r="V30" s="6">
        <v>0</v>
      </c>
      <c r="W30" s="6">
        <v>547500</v>
      </c>
      <c r="X30" s="6">
        <v>16425</v>
      </c>
      <c r="Y30" s="7">
        <v>0</v>
      </c>
      <c r="Z30" s="6">
        <v>547500</v>
      </c>
      <c r="AA30" s="6">
        <v>0</v>
      </c>
      <c r="AB30" s="6">
        <v>547500</v>
      </c>
      <c r="AC30" s="6">
        <v>16425</v>
      </c>
      <c r="AD30" s="7">
        <v>0</v>
      </c>
      <c r="AE30" s="6">
        <v>547500</v>
      </c>
      <c r="AF30" s="6">
        <v>0</v>
      </c>
      <c r="AG30" s="6">
        <v>547500</v>
      </c>
      <c r="AH30" s="6">
        <v>16425</v>
      </c>
      <c r="AI30" s="7">
        <v>0</v>
      </c>
      <c r="AJ30" s="6">
        <v>547500</v>
      </c>
      <c r="AK30" s="6">
        <v>0</v>
      </c>
      <c r="AL30" s="6">
        <v>547500</v>
      </c>
      <c r="AM30" s="6">
        <v>16425</v>
      </c>
      <c r="AN30" s="7">
        <v>0</v>
      </c>
      <c r="AO30" s="6">
        <v>547500</v>
      </c>
      <c r="AP30" s="6">
        <v>0</v>
      </c>
      <c r="AQ30" s="6">
        <v>547500</v>
      </c>
      <c r="AR30" s="6">
        <v>16425</v>
      </c>
      <c r="AS30" s="7">
        <v>0</v>
      </c>
    </row>
    <row r="31" spans="1:45" x14ac:dyDescent="0.3">
      <c r="A31" s="9" t="s">
        <v>72</v>
      </c>
      <c r="B31" s="9" t="s">
        <v>73</v>
      </c>
      <c r="C31" s="9" t="s">
        <v>69</v>
      </c>
      <c r="D31" s="10">
        <v>10.6</v>
      </c>
      <c r="E31" s="11">
        <v>2785</v>
      </c>
      <c r="F31" s="11">
        <v>0</v>
      </c>
      <c r="G31" s="11">
        <v>29521</v>
      </c>
      <c r="H31" s="11">
        <v>0.36</v>
      </c>
      <c r="I31" s="8" t="s">
        <v>16</v>
      </c>
      <c r="J31" s="26">
        <v>0</v>
      </c>
      <c r="K31" s="26">
        <v>0</v>
      </c>
      <c r="L31" s="26">
        <v>0</v>
      </c>
      <c r="M31" s="26">
        <v>0</v>
      </c>
      <c r="N31" s="25">
        <v>1</v>
      </c>
      <c r="O31" s="25">
        <v>1</v>
      </c>
      <c r="P31" s="11">
        <v>2785</v>
      </c>
      <c r="Q31" s="11">
        <v>0</v>
      </c>
      <c r="R31" s="11">
        <v>2785</v>
      </c>
      <c r="S31" s="11">
        <v>29521</v>
      </c>
      <c r="T31" s="7">
        <v>0</v>
      </c>
      <c r="U31" s="11">
        <v>2785</v>
      </c>
      <c r="V31" s="11">
        <v>0</v>
      </c>
      <c r="W31" s="11">
        <v>2785</v>
      </c>
      <c r="X31" s="11">
        <v>29521</v>
      </c>
      <c r="Y31" s="7">
        <v>0</v>
      </c>
      <c r="Z31" s="11">
        <v>2785</v>
      </c>
      <c r="AA31" s="11">
        <v>0</v>
      </c>
      <c r="AB31" s="11">
        <v>2785</v>
      </c>
      <c r="AC31" s="11">
        <v>29521</v>
      </c>
      <c r="AD31" s="7">
        <v>0</v>
      </c>
      <c r="AE31" s="11">
        <v>2785</v>
      </c>
      <c r="AF31" s="11">
        <v>0</v>
      </c>
      <c r="AG31" s="11">
        <v>2785</v>
      </c>
      <c r="AH31" s="11">
        <v>29521</v>
      </c>
      <c r="AI31" s="7">
        <v>0</v>
      </c>
      <c r="AJ31" s="11">
        <v>2785</v>
      </c>
      <c r="AK31" s="11">
        <v>0</v>
      </c>
      <c r="AL31" s="11">
        <v>2785</v>
      </c>
      <c r="AM31" s="11">
        <v>29521</v>
      </c>
      <c r="AN31" s="7">
        <v>0</v>
      </c>
      <c r="AO31" s="11">
        <v>2785</v>
      </c>
      <c r="AP31" s="11">
        <v>0</v>
      </c>
      <c r="AQ31" s="11">
        <v>2785</v>
      </c>
      <c r="AR31" s="11">
        <v>29521</v>
      </c>
      <c r="AS31" s="7">
        <v>0</v>
      </c>
    </row>
    <row r="32" spans="1:45" x14ac:dyDescent="0.3">
      <c r="A32" s="4" t="s">
        <v>74</v>
      </c>
      <c r="B32" s="4" t="s">
        <v>75</v>
      </c>
      <c r="C32" s="4" t="s">
        <v>69</v>
      </c>
      <c r="D32" s="5">
        <v>10.62</v>
      </c>
      <c r="E32" s="6">
        <v>1744</v>
      </c>
      <c r="F32" s="6">
        <v>0</v>
      </c>
      <c r="G32" s="6">
        <v>18521.28</v>
      </c>
      <c r="H32" s="6">
        <v>0.36</v>
      </c>
      <c r="I32" s="8" t="s">
        <v>16</v>
      </c>
      <c r="J32" s="24">
        <v>0</v>
      </c>
      <c r="K32" s="24">
        <v>0</v>
      </c>
      <c r="L32" s="24">
        <v>0</v>
      </c>
      <c r="M32" s="24">
        <v>0</v>
      </c>
      <c r="N32" s="25">
        <v>1</v>
      </c>
      <c r="O32" s="25">
        <v>1</v>
      </c>
      <c r="P32" s="6">
        <v>1744</v>
      </c>
      <c r="Q32" s="6">
        <v>0</v>
      </c>
      <c r="R32" s="6">
        <v>1744</v>
      </c>
      <c r="S32" s="6">
        <v>18521.28</v>
      </c>
      <c r="T32" s="7">
        <v>0</v>
      </c>
      <c r="U32" s="6">
        <v>1744</v>
      </c>
      <c r="V32" s="6">
        <v>0</v>
      </c>
      <c r="W32" s="6">
        <v>1744</v>
      </c>
      <c r="X32" s="6">
        <v>18521.28</v>
      </c>
      <c r="Y32" s="7">
        <v>0</v>
      </c>
      <c r="Z32" s="6">
        <v>1744</v>
      </c>
      <c r="AA32" s="6">
        <v>0</v>
      </c>
      <c r="AB32" s="6">
        <v>1744</v>
      </c>
      <c r="AC32" s="6">
        <v>18521.28</v>
      </c>
      <c r="AD32" s="7">
        <v>0</v>
      </c>
      <c r="AE32" s="6">
        <v>1744</v>
      </c>
      <c r="AF32" s="6">
        <v>0</v>
      </c>
      <c r="AG32" s="6">
        <v>1744</v>
      </c>
      <c r="AH32" s="6">
        <v>18521.28</v>
      </c>
      <c r="AI32" s="7">
        <v>0</v>
      </c>
      <c r="AJ32" s="6">
        <v>1744</v>
      </c>
      <c r="AK32" s="6">
        <v>0</v>
      </c>
      <c r="AL32" s="6">
        <v>1744</v>
      </c>
      <c r="AM32" s="6">
        <v>18521.28</v>
      </c>
      <c r="AN32" s="7">
        <v>0</v>
      </c>
      <c r="AO32" s="6">
        <v>1744</v>
      </c>
      <c r="AP32" s="6">
        <v>0</v>
      </c>
      <c r="AQ32" s="6">
        <v>1744</v>
      </c>
      <c r="AR32" s="6">
        <v>18521.28</v>
      </c>
      <c r="AS32" s="7">
        <v>0</v>
      </c>
    </row>
    <row r="33" spans="1:45" x14ac:dyDescent="0.3">
      <c r="A33" s="9" t="s">
        <v>76</v>
      </c>
      <c r="B33" s="9" t="s">
        <v>77</v>
      </c>
      <c r="C33" s="9" t="s">
        <v>69</v>
      </c>
      <c r="D33" s="10">
        <v>10.45</v>
      </c>
      <c r="E33" s="11">
        <v>862</v>
      </c>
      <c r="F33" s="11">
        <v>0</v>
      </c>
      <c r="G33" s="11">
        <v>9007.9</v>
      </c>
      <c r="H33" s="11">
        <v>0.36</v>
      </c>
      <c r="I33" s="8" t="s">
        <v>16</v>
      </c>
      <c r="J33" s="26">
        <v>0</v>
      </c>
      <c r="K33" s="26">
        <v>0</v>
      </c>
      <c r="L33" s="26">
        <v>0</v>
      </c>
      <c r="M33" s="26">
        <v>0</v>
      </c>
      <c r="N33" s="25">
        <v>1</v>
      </c>
      <c r="O33" s="25">
        <v>1</v>
      </c>
      <c r="P33" s="11">
        <v>862</v>
      </c>
      <c r="Q33" s="11">
        <v>0</v>
      </c>
      <c r="R33" s="11">
        <v>862</v>
      </c>
      <c r="S33" s="11">
        <v>9007.9</v>
      </c>
      <c r="T33" s="7">
        <v>0</v>
      </c>
      <c r="U33" s="11">
        <v>862</v>
      </c>
      <c r="V33" s="11">
        <v>0</v>
      </c>
      <c r="W33" s="11">
        <v>862</v>
      </c>
      <c r="X33" s="11">
        <v>9007.9</v>
      </c>
      <c r="Y33" s="7">
        <v>0</v>
      </c>
      <c r="Z33" s="11">
        <v>862</v>
      </c>
      <c r="AA33" s="11">
        <v>0</v>
      </c>
      <c r="AB33" s="11">
        <v>862</v>
      </c>
      <c r="AC33" s="11">
        <v>9007.9</v>
      </c>
      <c r="AD33" s="7">
        <v>0</v>
      </c>
      <c r="AE33" s="11">
        <v>862</v>
      </c>
      <c r="AF33" s="11">
        <v>0</v>
      </c>
      <c r="AG33" s="11">
        <v>862</v>
      </c>
      <c r="AH33" s="11">
        <v>9007.9</v>
      </c>
      <c r="AI33" s="7">
        <v>0</v>
      </c>
      <c r="AJ33" s="11">
        <v>862</v>
      </c>
      <c r="AK33" s="11">
        <v>0</v>
      </c>
      <c r="AL33" s="11">
        <v>862</v>
      </c>
      <c r="AM33" s="11">
        <v>9007.9</v>
      </c>
      <c r="AN33" s="7">
        <v>0</v>
      </c>
      <c r="AO33" s="11">
        <v>862</v>
      </c>
      <c r="AP33" s="11">
        <v>0</v>
      </c>
      <c r="AQ33" s="11">
        <v>862</v>
      </c>
      <c r="AR33" s="11">
        <v>9007.9</v>
      </c>
      <c r="AS33" s="7">
        <v>0</v>
      </c>
    </row>
    <row r="34" spans="1:45" x14ac:dyDescent="0.3">
      <c r="A34" s="4" t="s">
        <v>78</v>
      </c>
      <c r="B34" s="4" t="s">
        <v>79</v>
      </c>
      <c r="C34" s="4" t="s">
        <v>69</v>
      </c>
      <c r="D34" s="5">
        <v>10.63</v>
      </c>
      <c r="E34" s="6">
        <v>963.15</v>
      </c>
      <c r="F34" s="6">
        <v>0</v>
      </c>
      <c r="G34" s="6">
        <v>10238.25</v>
      </c>
      <c r="H34" s="6">
        <v>0.36</v>
      </c>
      <c r="I34" s="8" t="s">
        <v>16</v>
      </c>
      <c r="J34" s="24">
        <v>0</v>
      </c>
      <c r="K34" s="24">
        <v>0</v>
      </c>
      <c r="L34" s="24">
        <v>0</v>
      </c>
      <c r="M34" s="24">
        <v>0</v>
      </c>
      <c r="N34" s="25">
        <v>1</v>
      </c>
      <c r="O34" s="25">
        <v>1</v>
      </c>
      <c r="P34" s="6">
        <v>963.15</v>
      </c>
      <c r="Q34" s="6">
        <v>0</v>
      </c>
      <c r="R34" s="6">
        <v>963.15</v>
      </c>
      <c r="S34" s="6">
        <v>10238.2845</v>
      </c>
      <c r="T34" s="7">
        <v>0</v>
      </c>
      <c r="U34" s="6">
        <v>963.15</v>
      </c>
      <c r="V34" s="6">
        <v>0</v>
      </c>
      <c r="W34" s="6">
        <v>963.15</v>
      </c>
      <c r="X34" s="6">
        <v>10238.2845</v>
      </c>
      <c r="Y34" s="7">
        <v>0</v>
      </c>
      <c r="Z34" s="6">
        <v>963.15</v>
      </c>
      <c r="AA34" s="6">
        <v>0</v>
      </c>
      <c r="AB34" s="6">
        <v>963.15</v>
      </c>
      <c r="AC34" s="6">
        <v>10238.2845</v>
      </c>
      <c r="AD34" s="7">
        <v>0</v>
      </c>
      <c r="AE34" s="6">
        <v>963.15</v>
      </c>
      <c r="AF34" s="6">
        <v>0</v>
      </c>
      <c r="AG34" s="6">
        <v>963.15</v>
      </c>
      <c r="AH34" s="6">
        <v>10238.2845</v>
      </c>
      <c r="AI34" s="7">
        <v>0</v>
      </c>
      <c r="AJ34" s="6">
        <v>963.15</v>
      </c>
      <c r="AK34" s="6">
        <v>0</v>
      </c>
      <c r="AL34" s="6">
        <v>963.15</v>
      </c>
      <c r="AM34" s="6">
        <v>10238.2845</v>
      </c>
      <c r="AN34" s="7">
        <v>0</v>
      </c>
      <c r="AO34" s="6">
        <v>963.15</v>
      </c>
      <c r="AP34" s="6">
        <v>0</v>
      </c>
      <c r="AQ34" s="6">
        <v>963.15</v>
      </c>
      <c r="AR34" s="6">
        <v>10238.2845</v>
      </c>
      <c r="AS34" s="7">
        <v>0</v>
      </c>
    </row>
    <row r="35" spans="1:45" x14ac:dyDescent="0.3">
      <c r="A35" s="9" t="s">
        <v>80</v>
      </c>
      <c r="B35" s="9" t="s">
        <v>81</v>
      </c>
      <c r="C35" s="9" t="s">
        <v>69</v>
      </c>
      <c r="D35" s="10">
        <v>10.58</v>
      </c>
      <c r="E35" s="11">
        <v>842.14</v>
      </c>
      <c r="F35" s="11">
        <v>0</v>
      </c>
      <c r="G35" s="11">
        <v>8909.84</v>
      </c>
      <c r="H35" s="11">
        <v>0.36</v>
      </c>
      <c r="I35" s="8" t="s">
        <v>16</v>
      </c>
      <c r="J35" s="26">
        <v>0</v>
      </c>
      <c r="K35" s="26">
        <v>0</v>
      </c>
      <c r="L35" s="26">
        <v>0</v>
      </c>
      <c r="M35" s="26">
        <v>0</v>
      </c>
      <c r="N35" s="25">
        <v>1</v>
      </c>
      <c r="O35" s="25">
        <v>1</v>
      </c>
      <c r="P35" s="11">
        <v>842.14</v>
      </c>
      <c r="Q35" s="11">
        <v>0</v>
      </c>
      <c r="R35" s="11">
        <v>842.14</v>
      </c>
      <c r="S35" s="11">
        <v>8909.8412000000008</v>
      </c>
      <c r="T35" s="7">
        <v>0</v>
      </c>
      <c r="U35" s="11">
        <v>842.14</v>
      </c>
      <c r="V35" s="11">
        <v>0</v>
      </c>
      <c r="W35" s="11">
        <v>842.14</v>
      </c>
      <c r="X35" s="11">
        <v>8909.8412000000008</v>
      </c>
      <c r="Y35" s="7">
        <v>0</v>
      </c>
      <c r="Z35" s="11">
        <v>842.14</v>
      </c>
      <c r="AA35" s="11">
        <v>0</v>
      </c>
      <c r="AB35" s="11">
        <v>842.14</v>
      </c>
      <c r="AC35" s="11">
        <v>8909.8412000000008</v>
      </c>
      <c r="AD35" s="7">
        <v>0</v>
      </c>
      <c r="AE35" s="11">
        <v>842.14</v>
      </c>
      <c r="AF35" s="11">
        <v>0</v>
      </c>
      <c r="AG35" s="11">
        <v>842.14</v>
      </c>
      <c r="AH35" s="11">
        <v>8909.8412000000008</v>
      </c>
      <c r="AI35" s="7">
        <v>0</v>
      </c>
      <c r="AJ35" s="11">
        <v>842.14</v>
      </c>
      <c r="AK35" s="11">
        <v>0</v>
      </c>
      <c r="AL35" s="11">
        <v>842.14</v>
      </c>
      <c r="AM35" s="11">
        <v>8909.8412000000008</v>
      </c>
      <c r="AN35" s="7">
        <v>0</v>
      </c>
      <c r="AO35" s="11">
        <v>842.14</v>
      </c>
      <c r="AP35" s="11">
        <v>0</v>
      </c>
      <c r="AQ35" s="11">
        <v>842.14</v>
      </c>
      <c r="AR35" s="11">
        <v>8909.8412000000008</v>
      </c>
      <c r="AS35" s="7">
        <v>0</v>
      </c>
    </row>
    <row r="36" spans="1:45" x14ac:dyDescent="0.3">
      <c r="A36" s="4" t="s">
        <v>82</v>
      </c>
      <c r="B36" s="4" t="s">
        <v>83</v>
      </c>
      <c r="C36" s="4" t="s">
        <v>69</v>
      </c>
      <c r="D36" s="5">
        <v>10.55</v>
      </c>
      <c r="E36" s="6">
        <v>412</v>
      </c>
      <c r="F36" s="6">
        <v>0</v>
      </c>
      <c r="G36" s="6">
        <v>4346.6000000000004</v>
      </c>
      <c r="H36" s="6">
        <v>0.36</v>
      </c>
      <c r="I36" s="8" t="s">
        <v>16</v>
      </c>
      <c r="J36" s="24">
        <v>0</v>
      </c>
      <c r="K36" s="24">
        <v>0</v>
      </c>
      <c r="L36" s="24">
        <v>0</v>
      </c>
      <c r="M36" s="24">
        <v>0</v>
      </c>
      <c r="N36" s="25">
        <v>1</v>
      </c>
      <c r="O36" s="25">
        <v>1</v>
      </c>
      <c r="P36" s="6">
        <v>412</v>
      </c>
      <c r="Q36" s="6">
        <v>0</v>
      </c>
      <c r="R36" s="6">
        <v>412</v>
      </c>
      <c r="S36" s="6">
        <v>4346.6000000000004</v>
      </c>
      <c r="T36" s="7">
        <v>0</v>
      </c>
      <c r="U36" s="6">
        <v>412</v>
      </c>
      <c r="V36" s="6">
        <v>0</v>
      </c>
      <c r="W36" s="6">
        <v>412</v>
      </c>
      <c r="X36" s="6">
        <v>4346.6000000000004</v>
      </c>
      <c r="Y36" s="7">
        <v>0</v>
      </c>
      <c r="Z36" s="6">
        <v>412</v>
      </c>
      <c r="AA36" s="6">
        <v>0</v>
      </c>
      <c r="AB36" s="6">
        <v>412</v>
      </c>
      <c r="AC36" s="6">
        <v>4346.6000000000004</v>
      </c>
      <c r="AD36" s="7">
        <v>0</v>
      </c>
      <c r="AE36" s="6">
        <v>412</v>
      </c>
      <c r="AF36" s="6">
        <v>0</v>
      </c>
      <c r="AG36" s="6">
        <v>412</v>
      </c>
      <c r="AH36" s="6">
        <v>4346.6000000000004</v>
      </c>
      <c r="AI36" s="7">
        <v>0</v>
      </c>
      <c r="AJ36" s="6">
        <v>412</v>
      </c>
      <c r="AK36" s="6">
        <v>0</v>
      </c>
      <c r="AL36" s="6">
        <v>412</v>
      </c>
      <c r="AM36" s="6">
        <v>4346.6000000000004</v>
      </c>
      <c r="AN36" s="7">
        <v>0</v>
      </c>
      <c r="AO36" s="6">
        <v>412</v>
      </c>
      <c r="AP36" s="6">
        <v>0</v>
      </c>
      <c r="AQ36" s="6">
        <v>412</v>
      </c>
      <c r="AR36" s="6">
        <v>4346.6000000000004</v>
      </c>
      <c r="AS36" s="7">
        <v>0</v>
      </c>
    </row>
    <row r="37" spans="1:45" x14ac:dyDescent="0.3">
      <c r="A37" s="9" t="s">
        <v>84</v>
      </c>
      <c r="B37" s="9" t="s">
        <v>85</v>
      </c>
      <c r="C37" s="9" t="s">
        <v>69</v>
      </c>
      <c r="D37" s="10">
        <v>10.31</v>
      </c>
      <c r="E37" s="11">
        <v>231</v>
      </c>
      <c r="F37" s="11">
        <v>0</v>
      </c>
      <c r="G37" s="11">
        <v>2381.61</v>
      </c>
      <c r="H37" s="11">
        <v>0.36</v>
      </c>
      <c r="I37" s="8" t="s">
        <v>16</v>
      </c>
      <c r="J37" s="26">
        <v>0</v>
      </c>
      <c r="K37" s="26">
        <v>0</v>
      </c>
      <c r="L37" s="26">
        <v>0</v>
      </c>
      <c r="M37" s="26">
        <v>0</v>
      </c>
      <c r="N37" s="25">
        <v>1</v>
      </c>
      <c r="O37" s="25">
        <v>1</v>
      </c>
      <c r="P37" s="11">
        <v>231</v>
      </c>
      <c r="Q37" s="11">
        <v>0</v>
      </c>
      <c r="R37" s="11">
        <v>231</v>
      </c>
      <c r="S37" s="11">
        <v>2381.61</v>
      </c>
      <c r="T37" s="7">
        <v>0</v>
      </c>
      <c r="U37" s="11">
        <v>231</v>
      </c>
      <c r="V37" s="11">
        <v>0</v>
      </c>
      <c r="W37" s="11">
        <v>231</v>
      </c>
      <c r="X37" s="11">
        <v>2381.61</v>
      </c>
      <c r="Y37" s="7">
        <v>0</v>
      </c>
      <c r="Z37" s="11">
        <v>231</v>
      </c>
      <c r="AA37" s="11">
        <v>0</v>
      </c>
      <c r="AB37" s="11">
        <v>231</v>
      </c>
      <c r="AC37" s="11">
        <v>2381.61</v>
      </c>
      <c r="AD37" s="7">
        <v>0</v>
      </c>
      <c r="AE37" s="11">
        <v>231</v>
      </c>
      <c r="AF37" s="11">
        <v>0</v>
      </c>
      <c r="AG37" s="11">
        <v>231</v>
      </c>
      <c r="AH37" s="11">
        <v>2381.61</v>
      </c>
      <c r="AI37" s="7">
        <v>0</v>
      </c>
      <c r="AJ37" s="11">
        <v>231</v>
      </c>
      <c r="AK37" s="11">
        <v>0</v>
      </c>
      <c r="AL37" s="11">
        <v>231</v>
      </c>
      <c r="AM37" s="11">
        <v>2381.61</v>
      </c>
      <c r="AN37" s="7">
        <v>0</v>
      </c>
      <c r="AO37" s="11">
        <v>231</v>
      </c>
      <c r="AP37" s="11">
        <v>0</v>
      </c>
      <c r="AQ37" s="11">
        <v>231</v>
      </c>
      <c r="AR37" s="11">
        <v>2381.61</v>
      </c>
      <c r="AS37" s="7">
        <v>0</v>
      </c>
    </row>
    <row r="38" spans="1:45" x14ac:dyDescent="0.3">
      <c r="A38" s="4" t="s">
        <v>86</v>
      </c>
      <c r="B38" s="4" t="s">
        <v>87</v>
      </c>
      <c r="C38" s="4" t="s">
        <v>69</v>
      </c>
      <c r="D38" s="5">
        <v>11.25</v>
      </c>
      <c r="E38" s="6">
        <v>1063</v>
      </c>
      <c r="F38" s="6">
        <v>0</v>
      </c>
      <c r="G38" s="6">
        <v>11958.75</v>
      </c>
      <c r="H38" s="6">
        <v>0.36</v>
      </c>
      <c r="I38" s="8" t="s">
        <v>16</v>
      </c>
      <c r="J38" s="24">
        <v>0</v>
      </c>
      <c r="K38" s="24">
        <v>0</v>
      </c>
      <c r="L38" s="24">
        <v>0</v>
      </c>
      <c r="M38" s="24">
        <v>0</v>
      </c>
      <c r="N38" s="25">
        <v>1</v>
      </c>
      <c r="O38" s="25">
        <v>1</v>
      </c>
      <c r="P38" s="6">
        <v>1063</v>
      </c>
      <c r="Q38" s="6">
        <v>0</v>
      </c>
      <c r="R38" s="6">
        <v>1063</v>
      </c>
      <c r="S38" s="6">
        <v>11958.75</v>
      </c>
      <c r="T38" s="7">
        <v>0</v>
      </c>
      <c r="U38" s="6">
        <v>1063</v>
      </c>
      <c r="V38" s="6">
        <v>0</v>
      </c>
      <c r="W38" s="6">
        <v>1063</v>
      </c>
      <c r="X38" s="6">
        <v>11958.75</v>
      </c>
      <c r="Y38" s="7">
        <v>0</v>
      </c>
      <c r="Z38" s="6">
        <v>1063</v>
      </c>
      <c r="AA38" s="6">
        <v>0</v>
      </c>
      <c r="AB38" s="6">
        <v>1063</v>
      </c>
      <c r="AC38" s="6">
        <v>11958.75</v>
      </c>
      <c r="AD38" s="7">
        <v>0</v>
      </c>
      <c r="AE38" s="6">
        <v>1063</v>
      </c>
      <c r="AF38" s="6">
        <v>0</v>
      </c>
      <c r="AG38" s="6">
        <v>1063</v>
      </c>
      <c r="AH38" s="6">
        <v>11958.75</v>
      </c>
      <c r="AI38" s="7">
        <v>0</v>
      </c>
      <c r="AJ38" s="6">
        <v>1063</v>
      </c>
      <c r="AK38" s="6">
        <v>0</v>
      </c>
      <c r="AL38" s="6">
        <v>1063</v>
      </c>
      <c r="AM38" s="6">
        <v>11958.75</v>
      </c>
      <c r="AN38" s="7">
        <v>0</v>
      </c>
      <c r="AO38" s="6">
        <v>1063</v>
      </c>
      <c r="AP38" s="6">
        <v>0</v>
      </c>
      <c r="AQ38" s="6">
        <v>1063</v>
      </c>
      <c r="AR38" s="6">
        <v>11958.75</v>
      </c>
      <c r="AS38" s="7">
        <v>0</v>
      </c>
    </row>
    <row r="39" spans="1:45" x14ac:dyDescent="0.3">
      <c r="A39" s="9" t="s">
        <v>88</v>
      </c>
      <c r="B39" s="9" t="s">
        <v>89</v>
      </c>
      <c r="C39" s="9" t="s">
        <v>69</v>
      </c>
      <c r="D39" s="10">
        <v>10.64</v>
      </c>
      <c r="E39" s="11">
        <v>1256</v>
      </c>
      <c r="F39" s="11">
        <v>0</v>
      </c>
      <c r="G39" s="11">
        <v>13363.84</v>
      </c>
      <c r="H39" s="11">
        <v>0.36</v>
      </c>
      <c r="I39" s="8" t="s">
        <v>16</v>
      </c>
      <c r="J39" s="26">
        <v>0</v>
      </c>
      <c r="K39" s="26">
        <v>0</v>
      </c>
      <c r="L39" s="26">
        <v>0</v>
      </c>
      <c r="M39" s="26">
        <v>0</v>
      </c>
      <c r="N39" s="25">
        <v>1</v>
      </c>
      <c r="O39" s="25">
        <v>1</v>
      </c>
      <c r="P39" s="11">
        <v>1256</v>
      </c>
      <c r="Q39" s="11">
        <v>0</v>
      </c>
      <c r="R39" s="11">
        <v>1256</v>
      </c>
      <c r="S39" s="11">
        <v>13363.84</v>
      </c>
      <c r="T39" s="7">
        <v>0</v>
      </c>
      <c r="U39" s="11">
        <v>1256</v>
      </c>
      <c r="V39" s="11">
        <v>0</v>
      </c>
      <c r="W39" s="11">
        <v>1256</v>
      </c>
      <c r="X39" s="11">
        <v>13363.84</v>
      </c>
      <c r="Y39" s="7">
        <v>0</v>
      </c>
      <c r="Z39" s="11">
        <v>1256</v>
      </c>
      <c r="AA39" s="11">
        <v>0</v>
      </c>
      <c r="AB39" s="11">
        <v>1256</v>
      </c>
      <c r="AC39" s="11">
        <v>13363.84</v>
      </c>
      <c r="AD39" s="7">
        <v>0</v>
      </c>
      <c r="AE39" s="11">
        <v>1256</v>
      </c>
      <c r="AF39" s="11">
        <v>0</v>
      </c>
      <c r="AG39" s="11">
        <v>1256</v>
      </c>
      <c r="AH39" s="11">
        <v>13363.84</v>
      </c>
      <c r="AI39" s="7">
        <v>0</v>
      </c>
      <c r="AJ39" s="11">
        <v>1256</v>
      </c>
      <c r="AK39" s="11">
        <v>0</v>
      </c>
      <c r="AL39" s="11">
        <v>1256</v>
      </c>
      <c r="AM39" s="11">
        <v>13363.84</v>
      </c>
      <c r="AN39" s="7">
        <v>0</v>
      </c>
      <c r="AO39" s="11">
        <v>1256</v>
      </c>
      <c r="AP39" s="11">
        <v>0</v>
      </c>
      <c r="AQ39" s="11">
        <v>1256</v>
      </c>
      <c r="AR39" s="11">
        <v>13363.84</v>
      </c>
      <c r="AS39" s="7">
        <v>0</v>
      </c>
    </row>
    <row r="40" spans="1:45" x14ac:dyDescent="0.3">
      <c r="A40" s="4" t="s">
        <v>90</v>
      </c>
      <c r="B40" s="4" t="s">
        <v>91</v>
      </c>
      <c r="C40" s="4" t="s">
        <v>69</v>
      </c>
      <c r="D40" s="5">
        <v>10.55</v>
      </c>
      <c r="E40" s="6">
        <v>1645.14</v>
      </c>
      <c r="F40" s="6">
        <v>0</v>
      </c>
      <c r="G40" s="6">
        <v>17356.23</v>
      </c>
      <c r="H40" s="6">
        <v>0.36</v>
      </c>
      <c r="I40" s="8" t="s">
        <v>16</v>
      </c>
      <c r="J40" s="24">
        <v>0</v>
      </c>
      <c r="K40" s="24">
        <v>0</v>
      </c>
      <c r="L40" s="24">
        <v>0</v>
      </c>
      <c r="M40" s="24">
        <v>0</v>
      </c>
      <c r="N40" s="25">
        <v>1</v>
      </c>
      <c r="O40" s="25">
        <v>1</v>
      </c>
      <c r="P40" s="6">
        <v>1645.14</v>
      </c>
      <c r="Q40" s="6">
        <v>0</v>
      </c>
      <c r="R40" s="6">
        <v>1645.14</v>
      </c>
      <c r="S40" s="6">
        <v>17356.226999999999</v>
      </c>
      <c r="T40" s="7">
        <v>0</v>
      </c>
      <c r="U40" s="6">
        <v>1645.14</v>
      </c>
      <c r="V40" s="6">
        <v>0</v>
      </c>
      <c r="W40" s="6">
        <v>1645.14</v>
      </c>
      <c r="X40" s="6">
        <v>17356.226999999999</v>
      </c>
      <c r="Y40" s="7">
        <v>0</v>
      </c>
      <c r="Z40" s="6">
        <v>1645.14</v>
      </c>
      <c r="AA40" s="6">
        <v>0</v>
      </c>
      <c r="AB40" s="6">
        <v>1645.14</v>
      </c>
      <c r="AC40" s="6">
        <v>17356.226999999999</v>
      </c>
      <c r="AD40" s="7">
        <v>0</v>
      </c>
      <c r="AE40" s="6">
        <v>1645.14</v>
      </c>
      <c r="AF40" s="6">
        <v>0</v>
      </c>
      <c r="AG40" s="6">
        <v>1645.14</v>
      </c>
      <c r="AH40" s="6">
        <v>17356.226999999999</v>
      </c>
      <c r="AI40" s="7">
        <v>0</v>
      </c>
      <c r="AJ40" s="6">
        <v>1645.14</v>
      </c>
      <c r="AK40" s="6">
        <v>0</v>
      </c>
      <c r="AL40" s="6">
        <v>1645.14</v>
      </c>
      <c r="AM40" s="6">
        <v>17356.226999999999</v>
      </c>
      <c r="AN40" s="7">
        <v>0</v>
      </c>
      <c r="AO40" s="6">
        <v>1645.14</v>
      </c>
      <c r="AP40" s="6">
        <v>0</v>
      </c>
      <c r="AQ40" s="6">
        <v>1645.14</v>
      </c>
      <c r="AR40" s="6">
        <v>17356.226999999999</v>
      </c>
      <c r="AS40" s="7">
        <v>0</v>
      </c>
    </row>
    <row r="41" spans="1:45" x14ac:dyDescent="0.3">
      <c r="A41" s="9" t="s">
        <v>92</v>
      </c>
      <c r="B41" s="9" t="s">
        <v>93</v>
      </c>
      <c r="C41" s="9" t="s">
        <v>69</v>
      </c>
      <c r="D41" s="10">
        <v>13.5</v>
      </c>
      <c r="E41" s="11">
        <v>48</v>
      </c>
      <c r="F41" s="11">
        <v>0</v>
      </c>
      <c r="G41" s="11">
        <v>648</v>
      </c>
      <c r="H41" s="11">
        <v>0.36</v>
      </c>
      <c r="I41" s="12" t="s">
        <v>53</v>
      </c>
      <c r="J41" s="26">
        <v>0</v>
      </c>
      <c r="K41" s="26">
        <v>0</v>
      </c>
      <c r="L41" s="27">
        <v>1</v>
      </c>
      <c r="M41" s="26">
        <v>0</v>
      </c>
      <c r="N41" s="26">
        <v>0</v>
      </c>
      <c r="O41" s="27">
        <v>1</v>
      </c>
      <c r="P41" s="11">
        <v>48</v>
      </c>
      <c r="Q41" s="11">
        <v>0</v>
      </c>
      <c r="R41" s="11">
        <v>48</v>
      </c>
      <c r="S41" s="11">
        <v>648</v>
      </c>
      <c r="T41" s="7">
        <v>0</v>
      </c>
      <c r="U41" s="11">
        <v>48</v>
      </c>
      <c r="V41" s="11">
        <v>0</v>
      </c>
      <c r="W41" s="11">
        <v>48</v>
      </c>
      <c r="X41" s="11">
        <v>648</v>
      </c>
      <c r="Y41" s="7">
        <v>0</v>
      </c>
      <c r="Z41" s="11">
        <v>48</v>
      </c>
      <c r="AA41" s="11">
        <v>0</v>
      </c>
      <c r="AB41" s="11">
        <v>48</v>
      </c>
      <c r="AC41" s="11">
        <v>648</v>
      </c>
      <c r="AD41" s="7">
        <v>0</v>
      </c>
      <c r="AE41" s="11">
        <v>48</v>
      </c>
      <c r="AF41" s="11">
        <v>0</v>
      </c>
      <c r="AG41" s="11">
        <v>48</v>
      </c>
      <c r="AH41" s="11">
        <v>648</v>
      </c>
      <c r="AI41" s="7">
        <v>0</v>
      </c>
      <c r="AJ41" s="11">
        <v>48</v>
      </c>
      <c r="AK41" s="11">
        <v>0</v>
      </c>
      <c r="AL41" s="11">
        <v>48</v>
      </c>
      <c r="AM41" s="11">
        <v>648</v>
      </c>
      <c r="AN41" s="7">
        <v>0</v>
      </c>
      <c r="AO41" s="11">
        <v>48</v>
      </c>
      <c r="AP41" s="11">
        <v>0</v>
      </c>
      <c r="AQ41" s="11">
        <v>48</v>
      </c>
      <c r="AR41" s="11">
        <v>648</v>
      </c>
      <c r="AS41" s="7">
        <v>0</v>
      </c>
    </row>
    <row r="42" spans="1:45" x14ac:dyDescent="0.3">
      <c r="A42" s="4" t="s">
        <v>94</v>
      </c>
      <c r="B42" s="4" t="s">
        <v>95</v>
      </c>
      <c r="C42" s="4" t="s">
        <v>69</v>
      </c>
      <c r="D42" s="5">
        <v>12</v>
      </c>
      <c r="E42" s="6">
        <v>0.28000000000000003</v>
      </c>
      <c r="F42" s="6">
        <v>0</v>
      </c>
      <c r="G42" s="6">
        <v>3.36</v>
      </c>
      <c r="H42" s="6">
        <v>0.36</v>
      </c>
      <c r="I42" s="12" t="s">
        <v>53</v>
      </c>
      <c r="J42" s="24">
        <v>0</v>
      </c>
      <c r="K42" s="24">
        <v>0</v>
      </c>
      <c r="L42" s="27">
        <v>1</v>
      </c>
      <c r="M42" s="27">
        <v>1</v>
      </c>
      <c r="N42" s="24">
        <v>0</v>
      </c>
      <c r="O42" s="24">
        <v>2</v>
      </c>
      <c r="P42" s="6">
        <v>0.28000000000000003</v>
      </c>
      <c r="Q42" s="6">
        <v>0</v>
      </c>
      <c r="R42" s="6">
        <v>0.28000000000000003</v>
      </c>
      <c r="S42" s="6">
        <v>3.36</v>
      </c>
      <c r="T42" s="7">
        <v>0</v>
      </c>
      <c r="U42" s="6">
        <v>0.28000000000000003</v>
      </c>
      <c r="V42" s="6">
        <v>0</v>
      </c>
      <c r="W42" s="6">
        <v>0.28000000000000003</v>
      </c>
      <c r="X42" s="6">
        <v>3.36</v>
      </c>
      <c r="Y42" s="7">
        <v>0</v>
      </c>
      <c r="Z42" s="6">
        <v>0.28000000000000003</v>
      </c>
      <c r="AA42" s="6">
        <v>0</v>
      </c>
      <c r="AB42" s="6">
        <v>0.28000000000000003</v>
      </c>
      <c r="AC42" s="6">
        <v>3.36</v>
      </c>
      <c r="AD42" s="7">
        <v>0</v>
      </c>
      <c r="AE42" s="6">
        <v>0.28000000000000003</v>
      </c>
      <c r="AF42" s="6">
        <v>0</v>
      </c>
      <c r="AG42" s="6">
        <v>0.28000000000000003</v>
      </c>
      <c r="AH42" s="6">
        <v>3.36</v>
      </c>
      <c r="AI42" s="7">
        <v>0</v>
      </c>
      <c r="AJ42" s="6">
        <v>0.28000000000000003</v>
      </c>
      <c r="AK42" s="6">
        <v>0</v>
      </c>
      <c r="AL42" s="6">
        <v>0.28000000000000003</v>
      </c>
      <c r="AM42" s="6">
        <v>3.36</v>
      </c>
      <c r="AN42" s="7">
        <v>0</v>
      </c>
      <c r="AO42" s="6">
        <v>0.28000000000000003</v>
      </c>
      <c r="AP42" s="6">
        <v>0</v>
      </c>
      <c r="AQ42" s="6">
        <v>0.28000000000000003</v>
      </c>
      <c r="AR42" s="6">
        <v>3.36</v>
      </c>
      <c r="AS42" s="7">
        <v>0</v>
      </c>
    </row>
    <row r="43" spans="1:45" x14ac:dyDescent="0.3">
      <c r="A43" s="9" t="s">
        <v>96</v>
      </c>
      <c r="B43" s="9" t="s">
        <v>97</v>
      </c>
      <c r="C43" s="9" t="s">
        <v>69</v>
      </c>
      <c r="D43" s="10">
        <v>10.27</v>
      </c>
      <c r="E43" s="11">
        <v>70.41</v>
      </c>
      <c r="F43" s="11">
        <v>0</v>
      </c>
      <c r="G43" s="11">
        <v>723.43</v>
      </c>
      <c r="H43" s="11">
        <v>0.36</v>
      </c>
      <c r="I43" s="8" t="s">
        <v>16</v>
      </c>
      <c r="J43" s="26">
        <v>0</v>
      </c>
      <c r="K43" s="26">
        <v>0</v>
      </c>
      <c r="L43" s="26">
        <v>0</v>
      </c>
      <c r="M43" s="26">
        <v>0</v>
      </c>
      <c r="N43" s="25">
        <v>1</v>
      </c>
      <c r="O43" s="25">
        <v>1</v>
      </c>
      <c r="P43" s="11">
        <v>70.41</v>
      </c>
      <c r="Q43" s="11">
        <v>0</v>
      </c>
      <c r="R43" s="11">
        <v>70.41</v>
      </c>
      <c r="S43" s="11">
        <v>723.11069999999995</v>
      </c>
      <c r="T43" s="7">
        <v>0</v>
      </c>
      <c r="U43" s="11">
        <v>70.41</v>
      </c>
      <c r="V43" s="11">
        <v>0</v>
      </c>
      <c r="W43" s="11">
        <v>70.41</v>
      </c>
      <c r="X43" s="11">
        <v>723.11069999999995</v>
      </c>
      <c r="Y43" s="7">
        <v>0</v>
      </c>
      <c r="Z43" s="11">
        <v>70.41</v>
      </c>
      <c r="AA43" s="11">
        <v>0</v>
      </c>
      <c r="AB43" s="11">
        <v>70.41</v>
      </c>
      <c r="AC43" s="11">
        <v>723.11069999999995</v>
      </c>
      <c r="AD43" s="7">
        <v>0</v>
      </c>
      <c r="AE43" s="11">
        <v>70.41</v>
      </c>
      <c r="AF43" s="11">
        <v>0</v>
      </c>
      <c r="AG43" s="11">
        <v>70.41</v>
      </c>
      <c r="AH43" s="11">
        <v>723.11069999999995</v>
      </c>
      <c r="AI43" s="7">
        <v>0</v>
      </c>
      <c r="AJ43" s="11">
        <v>70.41</v>
      </c>
      <c r="AK43" s="11">
        <v>0</v>
      </c>
      <c r="AL43" s="11">
        <v>70.41</v>
      </c>
      <c r="AM43" s="11">
        <v>723.11069999999995</v>
      </c>
      <c r="AN43" s="7">
        <v>0</v>
      </c>
      <c r="AO43" s="11">
        <v>70.41</v>
      </c>
      <c r="AP43" s="11">
        <v>0</v>
      </c>
      <c r="AQ43" s="11">
        <v>70.41</v>
      </c>
      <c r="AR43" s="11">
        <v>723.11069999999995</v>
      </c>
      <c r="AS43" s="7">
        <v>0</v>
      </c>
    </row>
    <row r="44" spans="1:45" x14ac:dyDescent="0.3">
      <c r="A44" s="4" t="s">
        <v>98</v>
      </c>
      <c r="B44" s="4" t="s">
        <v>99</v>
      </c>
      <c r="C44" s="4" t="s">
        <v>100</v>
      </c>
      <c r="D44" s="5">
        <v>10.31</v>
      </c>
      <c r="E44" s="6">
        <v>597.70000000000005</v>
      </c>
      <c r="F44" s="6">
        <v>0</v>
      </c>
      <c r="G44" s="6">
        <v>6162.29</v>
      </c>
      <c r="H44" s="6">
        <v>3.5</v>
      </c>
      <c r="I44" s="12" t="s">
        <v>53</v>
      </c>
      <c r="J44" s="24">
        <v>0</v>
      </c>
      <c r="K44" s="24">
        <v>0</v>
      </c>
      <c r="L44" s="27">
        <v>1</v>
      </c>
      <c r="M44" s="24">
        <v>0</v>
      </c>
      <c r="N44" s="24">
        <v>0</v>
      </c>
      <c r="O44" s="27">
        <v>1</v>
      </c>
      <c r="P44" s="6">
        <v>597.70000000000005</v>
      </c>
      <c r="Q44" s="6">
        <v>0</v>
      </c>
      <c r="R44" s="6">
        <v>597.70000000000005</v>
      </c>
      <c r="S44" s="6">
        <v>6162.2870000000003</v>
      </c>
      <c r="T44" s="7">
        <v>0</v>
      </c>
      <c r="U44" s="6">
        <v>597.70000000000005</v>
      </c>
      <c r="V44" s="6">
        <v>0</v>
      </c>
      <c r="W44" s="6">
        <v>597.70000000000005</v>
      </c>
      <c r="X44" s="6">
        <v>6162.2870000000003</v>
      </c>
      <c r="Y44" s="7">
        <v>0</v>
      </c>
      <c r="Z44" s="6">
        <v>597.70000000000005</v>
      </c>
      <c r="AA44" s="6">
        <v>0</v>
      </c>
      <c r="AB44" s="6">
        <v>597.70000000000005</v>
      </c>
      <c r="AC44" s="6">
        <v>6162.2870000000003</v>
      </c>
      <c r="AD44" s="7">
        <v>0</v>
      </c>
      <c r="AE44" s="6">
        <v>597.70000000000005</v>
      </c>
      <c r="AF44" s="6">
        <v>0</v>
      </c>
      <c r="AG44" s="6">
        <v>597.70000000000005</v>
      </c>
      <c r="AH44" s="6">
        <v>6162.2870000000003</v>
      </c>
      <c r="AI44" s="7">
        <v>0</v>
      </c>
      <c r="AJ44" s="6">
        <v>597.70000000000005</v>
      </c>
      <c r="AK44" s="6">
        <v>0</v>
      </c>
      <c r="AL44" s="6">
        <v>597.70000000000005</v>
      </c>
      <c r="AM44" s="6">
        <v>6162.2870000000003</v>
      </c>
      <c r="AN44" s="7">
        <v>0</v>
      </c>
      <c r="AO44" s="6">
        <v>597.70000000000005</v>
      </c>
      <c r="AP44" s="6">
        <v>0</v>
      </c>
      <c r="AQ44" s="6">
        <v>597.70000000000005</v>
      </c>
      <c r="AR44" s="6">
        <v>6162.2870000000003</v>
      </c>
      <c r="AS44" s="7">
        <v>0</v>
      </c>
    </row>
    <row r="45" spans="1:45" x14ac:dyDescent="0.3">
      <c r="A45" s="9" t="s">
        <v>101</v>
      </c>
      <c r="B45" s="9" t="s">
        <v>102</v>
      </c>
      <c r="C45" s="9" t="s">
        <v>69</v>
      </c>
      <c r="D45" s="10">
        <v>10.31</v>
      </c>
      <c r="E45" s="11">
        <v>273</v>
      </c>
      <c r="F45" s="11">
        <v>0</v>
      </c>
      <c r="G45" s="11">
        <v>2814</v>
      </c>
      <c r="H45" s="11">
        <v>0.36</v>
      </c>
      <c r="I45" s="12" t="s">
        <v>53</v>
      </c>
      <c r="J45" s="26">
        <v>0</v>
      </c>
      <c r="K45" s="26">
        <v>0</v>
      </c>
      <c r="L45" s="27">
        <v>1</v>
      </c>
      <c r="M45" s="26">
        <v>0</v>
      </c>
      <c r="N45" s="26">
        <v>0</v>
      </c>
      <c r="O45" s="27">
        <v>1</v>
      </c>
      <c r="P45" s="11">
        <v>273</v>
      </c>
      <c r="Q45" s="11">
        <v>0</v>
      </c>
      <c r="R45" s="11">
        <v>273</v>
      </c>
      <c r="S45" s="11">
        <v>2814.63</v>
      </c>
      <c r="T45" s="7">
        <v>0</v>
      </c>
      <c r="U45" s="11">
        <v>273</v>
      </c>
      <c r="V45" s="11">
        <v>0</v>
      </c>
      <c r="W45" s="11">
        <v>273</v>
      </c>
      <c r="X45" s="11">
        <v>2814.63</v>
      </c>
      <c r="Y45" s="7">
        <v>0</v>
      </c>
      <c r="Z45" s="11">
        <v>273</v>
      </c>
      <c r="AA45" s="11">
        <v>0</v>
      </c>
      <c r="AB45" s="11">
        <v>273</v>
      </c>
      <c r="AC45" s="11">
        <v>2814.63</v>
      </c>
      <c r="AD45" s="7">
        <v>0</v>
      </c>
      <c r="AE45" s="11">
        <v>273</v>
      </c>
      <c r="AF45" s="11">
        <v>0</v>
      </c>
      <c r="AG45" s="11">
        <v>273</v>
      </c>
      <c r="AH45" s="11">
        <v>2814.63</v>
      </c>
      <c r="AI45" s="7">
        <v>0</v>
      </c>
      <c r="AJ45" s="11">
        <v>273</v>
      </c>
      <c r="AK45" s="11">
        <v>0</v>
      </c>
      <c r="AL45" s="11">
        <v>273</v>
      </c>
      <c r="AM45" s="11">
        <v>2814.63</v>
      </c>
      <c r="AN45" s="7">
        <v>0</v>
      </c>
      <c r="AO45" s="11">
        <v>273</v>
      </c>
      <c r="AP45" s="11">
        <v>0</v>
      </c>
      <c r="AQ45" s="11">
        <v>273</v>
      </c>
      <c r="AR45" s="11">
        <v>2814.63</v>
      </c>
      <c r="AS45" s="7">
        <v>0</v>
      </c>
    </row>
    <row r="46" spans="1:45" x14ac:dyDescent="0.3">
      <c r="A46" s="4" t="s">
        <v>103</v>
      </c>
      <c r="B46" s="4" t="s">
        <v>104</v>
      </c>
      <c r="C46" s="4" t="s">
        <v>100</v>
      </c>
      <c r="D46" s="5">
        <v>10.33</v>
      </c>
      <c r="E46" s="6">
        <v>127</v>
      </c>
      <c r="F46" s="6">
        <v>0</v>
      </c>
      <c r="G46" s="6">
        <v>1312.16</v>
      </c>
      <c r="H46" s="6">
        <v>3.5</v>
      </c>
      <c r="I46" s="12" t="s">
        <v>53</v>
      </c>
      <c r="J46" s="24">
        <v>0</v>
      </c>
      <c r="K46" s="24">
        <v>0</v>
      </c>
      <c r="L46" s="27">
        <v>1</v>
      </c>
      <c r="M46" s="24">
        <v>0</v>
      </c>
      <c r="N46" s="24">
        <v>0</v>
      </c>
      <c r="O46" s="27">
        <v>1</v>
      </c>
      <c r="P46" s="6">
        <v>127</v>
      </c>
      <c r="Q46" s="6">
        <v>0</v>
      </c>
      <c r="R46" s="6">
        <v>127</v>
      </c>
      <c r="S46" s="6">
        <v>1311.91</v>
      </c>
      <c r="T46" s="7">
        <v>0</v>
      </c>
      <c r="U46" s="6">
        <v>127</v>
      </c>
      <c r="V46" s="6">
        <v>0</v>
      </c>
      <c r="W46" s="6">
        <v>127</v>
      </c>
      <c r="X46" s="6">
        <v>1311.91</v>
      </c>
      <c r="Y46" s="7">
        <v>0</v>
      </c>
      <c r="Z46" s="6">
        <v>127</v>
      </c>
      <c r="AA46" s="6">
        <v>0</v>
      </c>
      <c r="AB46" s="6">
        <v>127</v>
      </c>
      <c r="AC46" s="6">
        <v>1311.91</v>
      </c>
      <c r="AD46" s="7">
        <v>0</v>
      </c>
      <c r="AE46" s="6">
        <v>127</v>
      </c>
      <c r="AF46" s="6">
        <v>0</v>
      </c>
      <c r="AG46" s="6">
        <v>127</v>
      </c>
      <c r="AH46" s="6">
        <v>1311.91</v>
      </c>
      <c r="AI46" s="7">
        <v>0</v>
      </c>
      <c r="AJ46" s="6">
        <v>127</v>
      </c>
      <c r="AK46" s="6">
        <v>0</v>
      </c>
      <c r="AL46" s="6">
        <v>127</v>
      </c>
      <c r="AM46" s="6">
        <v>1311.91</v>
      </c>
      <c r="AN46" s="7">
        <v>0</v>
      </c>
      <c r="AO46" s="6">
        <v>127</v>
      </c>
      <c r="AP46" s="6">
        <v>0</v>
      </c>
      <c r="AQ46" s="6">
        <v>127</v>
      </c>
      <c r="AR46" s="6">
        <v>1311.91</v>
      </c>
      <c r="AS46" s="7">
        <v>0</v>
      </c>
    </row>
    <row r="47" spans="1:45" x14ac:dyDescent="0.3">
      <c r="A47" s="9" t="s">
        <v>105</v>
      </c>
      <c r="B47" s="9" t="s">
        <v>106</v>
      </c>
      <c r="C47" s="9" t="s">
        <v>107</v>
      </c>
      <c r="D47" s="10">
        <v>15.55</v>
      </c>
      <c r="E47" s="11">
        <v>294</v>
      </c>
      <c r="F47" s="11">
        <v>0</v>
      </c>
      <c r="G47" s="11">
        <v>4571.7</v>
      </c>
      <c r="H47" s="11">
        <v>3.93</v>
      </c>
      <c r="I47" s="8" t="s">
        <v>16</v>
      </c>
      <c r="J47" s="26">
        <v>0</v>
      </c>
      <c r="K47" s="26">
        <v>0</v>
      </c>
      <c r="L47" s="26">
        <v>0</v>
      </c>
      <c r="M47" s="26">
        <v>0</v>
      </c>
      <c r="N47" s="25">
        <v>1</v>
      </c>
      <c r="O47" s="25">
        <v>1</v>
      </c>
      <c r="P47" s="11">
        <v>294</v>
      </c>
      <c r="Q47" s="11">
        <v>0</v>
      </c>
      <c r="R47" s="11">
        <v>294</v>
      </c>
      <c r="S47" s="11">
        <v>4571.7</v>
      </c>
      <c r="T47" s="7">
        <v>0</v>
      </c>
      <c r="U47" s="11">
        <v>294</v>
      </c>
      <c r="V47" s="11">
        <v>0</v>
      </c>
      <c r="W47" s="11">
        <v>294</v>
      </c>
      <c r="X47" s="11">
        <v>4571.7</v>
      </c>
      <c r="Y47" s="7">
        <v>0</v>
      </c>
      <c r="Z47" s="11">
        <v>294</v>
      </c>
      <c r="AA47" s="11">
        <v>0</v>
      </c>
      <c r="AB47" s="11">
        <v>294</v>
      </c>
      <c r="AC47" s="11">
        <v>4571.7</v>
      </c>
      <c r="AD47" s="7">
        <v>0</v>
      </c>
      <c r="AE47" s="11">
        <v>294</v>
      </c>
      <c r="AF47" s="11">
        <v>0</v>
      </c>
      <c r="AG47" s="11">
        <v>294</v>
      </c>
      <c r="AH47" s="11">
        <v>4571.7</v>
      </c>
      <c r="AI47" s="7">
        <v>0</v>
      </c>
      <c r="AJ47" s="11">
        <v>294</v>
      </c>
      <c r="AK47" s="11">
        <v>0</v>
      </c>
      <c r="AL47" s="11">
        <v>294</v>
      </c>
      <c r="AM47" s="11">
        <v>4571.7</v>
      </c>
      <c r="AN47" s="7">
        <v>0</v>
      </c>
      <c r="AO47" s="11">
        <v>294</v>
      </c>
      <c r="AP47" s="11">
        <v>0</v>
      </c>
      <c r="AQ47" s="11">
        <v>294</v>
      </c>
      <c r="AR47" s="11">
        <v>4571.7</v>
      </c>
      <c r="AS47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47"/>
  <sheetViews>
    <sheetView workbookViewId="0">
      <pane xSplit="4" ySplit="3" topLeftCell="AL4" activePane="bottomRight" state="frozen"/>
      <selection pane="topRight"/>
      <selection pane="bottomLeft"/>
      <selection pane="bottomRight" activeCell="AP6" sqref="AP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4" t="s">
        <v>127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</row>
    <row r="2" spans="1:45" ht="18" customHeight="1" x14ac:dyDescent="0.3">
      <c r="A2" s="39" t="s">
        <v>1</v>
      </c>
      <c r="B2" s="39" t="s">
        <v>2</v>
      </c>
      <c r="C2" s="39" t="s">
        <v>3</v>
      </c>
      <c r="D2" s="39" t="s">
        <v>111</v>
      </c>
      <c r="E2" s="61" t="s">
        <v>128</v>
      </c>
      <c r="F2" s="62"/>
      <c r="G2" s="62"/>
      <c r="H2" s="62"/>
      <c r="I2" s="59" t="s">
        <v>113</v>
      </c>
      <c r="J2" s="60"/>
      <c r="K2" s="60"/>
      <c r="L2" s="60"/>
      <c r="M2" s="60"/>
      <c r="N2" s="60"/>
      <c r="O2" s="60"/>
      <c r="P2" s="53">
        <v>46041</v>
      </c>
      <c r="Q2" s="54"/>
      <c r="R2" s="54"/>
      <c r="S2" s="54"/>
      <c r="T2" s="55"/>
      <c r="U2" s="41">
        <v>46042</v>
      </c>
      <c r="V2" s="42"/>
      <c r="W2" s="42"/>
      <c r="X2" s="42"/>
      <c r="Y2" s="43"/>
      <c r="Z2" s="44">
        <v>46043</v>
      </c>
      <c r="AA2" s="45"/>
      <c r="AB2" s="45"/>
      <c r="AC2" s="45"/>
      <c r="AD2" s="46"/>
      <c r="AE2" s="50">
        <v>46044</v>
      </c>
      <c r="AF2" s="51"/>
      <c r="AG2" s="51"/>
      <c r="AH2" s="51"/>
      <c r="AI2" s="52"/>
      <c r="AJ2" s="63">
        <v>46045</v>
      </c>
      <c r="AK2" s="64"/>
      <c r="AL2" s="64"/>
      <c r="AM2" s="64"/>
      <c r="AN2" s="65"/>
      <c r="AO2" s="44">
        <v>46046</v>
      </c>
      <c r="AP2" s="45"/>
      <c r="AQ2" s="45"/>
      <c r="AR2" s="45"/>
      <c r="AS2" s="46"/>
    </row>
    <row r="3" spans="1:45" ht="28.05" customHeight="1" x14ac:dyDescent="0.3">
      <c r="A3" s="40"/>
      <c r="B3" s="40"/>
      <c r="C3" s="40"/>
      <c r="D3" s="40"/>
      <c r="E3" s="15" t="s">
        <v>8</v>
      </c>
      <c r="F3" s="15" t="s">
        <v>114</v>
      </c>
      <c r="G3" s="15" t="s">
        <v>10</v>
      </c>
      <c r="H3" s="15" t="s">
        <v>115</v>
      </c>
      <c r="I3" s="16" t="s">
        <v>116</v>
      </c>
      <c r="J3" s="17" t="s">
        <v>117</v>
      </c>
      <c r="K3" s="17" t="s">
        <v>118</v>
      </c>
      <c r="L3" s="17" t="s">
        <v>119</v>
      </c>
      <c r="M3" s="17" t="s">
        <v>120</v>
      </c>
      <c r="N3" s="17" t="s">
        <v>121</v>
      </c>
      <c r="O3" s="17" t="s">
        <v>122</v>
      </c>
      <c r="P3" s="18" t="s">
        <v>123</v>
      </c>
      <c r="Q3" s="18" t="s">
        <v>9</v>
      </c>
      <c r="R3" s="18" t="s">
        <v>124</v>
      </c>
      <c r="S3" s="18" t="s">
        <v>125</v>
      </c>
      <c r="T3" s="18" t="s">
        <v>126</v>
      </c>
      <c r="U3" s="19" t="s">
        <v>123</v>
      </c>
      <c r="V3" s="19" t="s">
        <v>9</v>
      </c>
      <c r="W3" s="19" t="s">
        <v>124</v>
      </c>
      <c r="X3" s="19" t="s">
        <v>125</v>
      </c>
      <c r="Y3" s="19" t="s">
        <v>126</v>
      </c>
      <c r="Z3" s="20" t="s">
        <v>123</v>
      </c>
      <c r="AA3" s="20" t="s">
        <v>9</v>
      </c>
      <c r="AB3" s="20" t="s">
        <v>124</v>
      </c>
      <c r="AC3" s="20" t="s">
        <v>125</v>
      </c>
      <c r="AD3" s="20" t="s">
        <v>126</v>
      </c>
      <c r="AE3" s="21" t="s">
        <v>123</v>
      </c>
      <c r="AF3" s="21" t="s">
        <v>9</v>
      </c>
      <c r="AG3" s="21" t="s">
        <v>124</v>
      </c>
      <c r="AH3" s="21" t="s">
        <v>125</v>
      </c>
      <c r="AI3" s="21" t="s">
        <v>126</v>
      </c>
      <c r="AJ3" s="22" t="s">
        <v>123</v>
      </c>
      <c r="AK3" s="22" t="s">
        <v>9</v>
      </c>
      <c r="AL3" s="22" t="s">
        <v>124</v>
      </c>
      <c r="AM3" s="22" t="s">
        <v>125</v>
      </c>
      <c r="AN3" s="22" t="s">
        <v>126</v>
      </c>
      <c r="AO3" s="23" t="s">
        <v>123</v>
      </c>
      <c r="AP3" s="23" t="s">
        <v>9</v>
      </c>
      <c r="AQ3" s="23" t="s">
        <v>124</v>
      </c>
      <c r="AR3" s="23" t="s">
        <v>125</v>
      </c>
      <c r="AS3" s="23" t="s">
        <v>126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2.5999999999999999E-3</v>
      </c>
      <c r="E4" s="6">
        <v>4554000</v>
      </c>
      <c r="F4" s="6">
        <v>0</v>
      </c>
      <c r="G4" s="6">
        <v>11840.4</v>
      </c>
      <c r="H4" s="6">
        <v>22.142900000000001</v>
      </c>
      <c r="I4" s="8" t="s">
        <v>16</v>
      </c>
      <c r="J4" s="24">
        <v>0</v>
      </c>
      <c r="K4" s="24">
        <v>0</v>
      </c>
      <c r="L4" s="24">
        <v>0</v>
      </c>
      <c r="M4" s="24">
        <v>0</v>
      </c>
      <c r="N4" s="25">
        <v>1</v>
      </c>
      <c r="O4" s="25">
        <v>1</v>
      </c>
      <c r="P4" s="6">
        <v>4554000</v>
      </c>
      <c r="Q4" s="6">
        <v>0</v>
      </c>
      <c r="R4" s="6">
        <v>4554000</v>
      </c>
      <c r="S4" s="6">
        <v>11840.4</v>
      </c>
      <c r="T4" s="7">
        <v>0</v>
      </c>
      <c r="U4" s="6">
        <v>4554000</v>
      </c>
      <c r="V4" s="6">
        <v>0</v>
      </c>
      <c r="W4" s="6">
        <v>4554000</v>
      </c>
      <c r="X4" s="6">
        <v>11840.4</v>
      </c>
      <c r="Y4" s="7">
        <v>0</v>
      </c>
      <c r="Z4" s="6">
        <v>4554000</v>
      </c>
      <c r="AA4" s="6">
        <v>0</v>
      </c>
      <c r="AB4" s="6">
        <v>4554000</v>
      </c>
      <c r="AC4" s="6">
        <v>11840.4</v>
      </c>
      <c r="AD4" s="7">
        <v>0</v>
      </c>
      <c r="AE4" s="6">
        <v>4554000</v>
      </c>
      <c r="AF4" s="6">
        <v>0</v>
      </c>
      <c r="AG4" s="6">
        <v>4554000</v>
      </c>
      <c r="AH4" s="6">
        <v>11840.4</v>
      </c>
      <c r="AI4" s="7">
        <v>0</v>
      </c>
      <c r="AJ4" s="6">
        <v>4554000</v>
      </c>
      <c r="AK4" s="6">
        <v>0</v>
      </c>
      <c r="AL4" s="6">
        <v>4554000</v>
      </c>
      <c r="AM4" s="6">
        <v>11840.4</v>
      </c>
      <c r="AN4" s="7">
        <v>0</v>
      </c>
      <c r="AO4" s="6">
        <v>4554000</v>
      </c>
      <c r="AP4" s="6">
        <v>0</v>
      </c>
      <c r="AQ4" s="6">
        <v>4554000</v>
      </c>
      <c r="AR4" s="6">
        <v>11840.4</v>
      </c>
      <c r="AS4" s="7">
        <v>0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3.5000000000000001E-3</v>
      </c>
      <c r="E5" s="11">
        <v>1068000</v>
      </c>
      <c r="F5" s="11">
        <v>0</v>
      </c>
      <c r="G5" s="11">
        <v>3738</v>
      </c>
      <c r="H5" s="11">
        <v>22.142900000000001</v>
      </c>
      <c r="I5" s="8" t="s">
        <v>16</v>
      </c>
      <c r="J5" s="26">
        <v>0</v>
      </c>
      <c r="K5" s="26">
        <v>0</v>
      </c>
      <c r="L5" s="26">
        <v>0</v>
      </c>
      <c r="M5" s="26">
        <v>0</v>
      </c>
      <c r="N5" s="25">
        <v>1</v>
      </c>
      <c r="O5" s="25">
        <v>1</v>
      </c>
      <c r="P5" s="11">
        <v>1068000</v>
      </c>
      <c r="Q5" s="11">
        <v>0</v>
      </c>
      <c r="R5" s="11">
        <v>1068000</v>
      </c>
      <c r="S5" s="11">
        <v>3738</v>
      </c>
      <c r="T5" s="7">
        <v>0</v>
      </c>
      <c r="U5" s="11">
        <v>1068000</v>
      </c>
      <c r="V5" s="11">
        <v>0</v>
      </c>
      <c r="W5" s="11">
        <v>1068000</v>
      </c>
      <c r="X5" s="11">
        <v>3738</v>
      </c>
      <c r="Y5" s="7">
        <v>0</v>
      </c>
      <c r="Z5" s="11">
        <v>1068000</v>
      </c>
      <c r="AA5" s="11">
        <v>0</v>
      </c>
      <c r="AB5" s="11">
        <v>1068000</v>
      </c>
      <c r="AC5" s="11">
        <v>3738</v>
      </c>
      <c r="AD5" s="7">
        <v>0</v>
      </c>
      <c r="AE5" s="11">
        <v>1068000</v>
      </c>
      <c r="AF5" s="11">
        <v>0</v>
      </c>
      <c r="AG5" s="11">
        <v>1068000</v>
      </c>
      <c r="AH5" s="11">
        <v>3738</v>
      </c>
      <c r="AI5" s="7">
        <v>0</v>
      </c>
      <c r="AJ5" s="11">
        <v>1068000</v>
      </c>
      <c r="AK5" s="11">
        <v>0</v>
      </c>
      <c r="AL5" s="11">
        <v>1068000</v>
      </c>
      <c r="AM5" s="11">
        <v>3738</v>
      </c>
      <c r="AN5" s="7">
        <v>0</v>
      </c>
      <c r="AO5" s="11">
        <v>1068000</v>
      </c>
      <c r="AP5" s="11">
        <v>0</v>
      </c>
      <c r="AQ5" s="11">
        <v>1068000</v>
      </c>
      <c r="AR5" s="11">
        <v>3738</v>
      </c>
      <c r="AS5" s="7">
        <v>0</v>
      </c>
    </row>
    <row r="6" spans="1:45" x14ac:dyDescent="0.3">
      <c r="A6" s="4" t="s">
        <v>19</v>
      </c>
      <c r="B6" s="4" t="s">
        <v>20</v>
      </c>
      <c r="C6" s="4" t="s">
        <v>15</v>
      </c>
      <c r="D6" s="5">
        <v>1.5900000000000001E-2</v>
      </c>
      <c r="E6" s="6">
        <v>2982000</v>
      </c>
      <c r="F6" s="6">
        <v>0</v>
      </c>
      <c r="G6" s="6">
        <v>47413.8</v>
      </c>
      <c r="H6" s="6">
        <v>22.142900000000001</v>
      </c>
      <c r="I6" s="8" t="s">
        <v>16</v>
      </c>
      <c r="J6" s="24">
        <v>0</v>
      </c>
      <c r="K6" s="24">
        <v>0</v>
      </c>
      <c r="L6" s="24">
        <v>0</v>
      </c>
      <c r="M6" s="24">
        <v>0</v>
      </c>
      <c r="N6" s="25">
        <v>1</v>
      </c>
      <c r="O6" s="25">
        <v>1</v>
      </c>
      <c r="P6" s="6">
        <v>2982000</v>
      </c>
      <c r="Q6" s="6">
        <v>0</v>
      </c>
      <c r="R6" s="6">
        <v>2982000</v>
      </c>
      <c r="S6" s="6">
        <v>47413.8</v>
      </c>
      <c r="T6" s="7">
        <v>0</v>
      </c>
      <c r="U6" s="6">
        <v>2982000</v>
      </c>
      <c r="V6" s="6">
        <v>0</v>
      </c>
      <c r="W6" s="6">
        <v>2982000</v>
      </c>
      <c r="X6" s="6">
        <v>47413.8</v>
      </c>
      <c r="Y6" s="7">
        <v>0</v>
      </c>
      <c r="Z6" s="6">
        <v>2982000</v>
      </c>
      <c r="AA6" s="6">
        <v>0</v>
      </c>
      <c r="AB6" s="6">
        <v>2982000</v>
      </c>
      <c r="AC6" s="6">
        <v>47413.8</v>
      </c>
      <c r="AD6" s="7">
        <v>0</v>
      </c>
      <c r="AE6" s="6">
        <v>2982000</v>
      </c>
      <c r="AF6" s="6">
        <v>0</v>
      </c>
      <c r="AG6" s="6">
        <v>2982000</v>
      </c>
      <c r="AH6" s="6">
        <v>47413.8</v>
      </c>
      <c r="AI6" s="7">
        <v>0</v>
      </c>
      <c r="AJ6" s="6">
        <v>2982000</v>
      </c>
      <c r="AK6" s="6">
        <v>0</v>
      </c>
      <c r="AL6" s="6">
        <v>2982000</v>
      </c>
      <c r="AM6" s="6">
        <v>47413.8</v>
      </c>
      <c r="AN6" s="7">
        <v>0</v>
      </c>
      <c r="AO6" s="6">
        <v>2982000</v>
      </c>
      <c r="AP6" s="6">
        <v>0</v>
      </c>
      <c r="AQ6" s="6">
        <v>2982000</v>
      </c>
      <c r="AR6" s="6">
        <v>47413.8</v>
      </c>
      <c r="AS6" s="7">
        <v>0</v>
      </c>
    </row>
    <row r="7" spans="1:45" x14ac:dyDescent="0.3">
      <c r="A7" s="9" t="s">
        <v>21</v>
      </c>
      <c r="B7" s="9" t="s">
        <v>22</v>
      </c>
      <c r="C7" s="9" t="s">
        <v>15</v>
      </c>
      <c r="D7" s="10">
        <v>8.6E-3</v>
      </c>
      <c r="E7" s="11">
        <v>458600</v>
      </c>
      <c r="F7" s="11">
        <v>0</v>
      </c>
      <c r="G7" s="11">
        <v>3943.96</v>
      </c>
      <c r="H7" s="11">
        <v>22.142900000000001</v>
      </c>
      <c r="I7" s="8" t="s">
        <v>16</v>
      </c>
      <c r="J7" s="26">
        <v>0</v>
      </c>
      <c r="K7" s="26">
        <v>0</v>
      </c>
      <c r="L7" s="26">
        <v>0</v>
      </c>
      <c r="M7" s="26">
        <v>0</v>
      </c>
      <c r="N7" s="25">
        <v>1</v>
      </c>
      <c r="O7" s="25">
        <v>1</v>
      </c>
      <c r="P7" s="11">
        <v>458600</v>
      </c>
      <c r="Q7" s="11">
        <v>0</v>
      </c>
      <c r="R7" s="11">
        <v>458600</v>
      </c>
      <c r="S7" s="11">
        <v>3943.96</v>
      </c>
      <c r="T7" s="7">
        <v>0</v>
      </c>
      <c r="U7" s="11">
        <v>458600</v>
      </c>
      <c r="V7" s="11">
        <v>0</v>
      </c>
      <c r="W7" s="11">
        <v>458600</v>
      </c>
      <c r="X7" s="11">
        <v>3943.96</v>
      </c>
      <c r="Y7" s="7">
        <v>0</v>
      </c>
      <c r="Z7" s="11">
        <v>458600</v>
      </c>
      <c r="AA7" s="11">
        <v>0</v>
      </c>
      <c r="AB7" s="11">
        <v>458600</v>
      </c>
      <c r="AC7" s="11">
        <v>3943.96</v>
      </c>
      <c r="AD7" s="7">
        <v>0</v>
      </c>
      <c r="AE7" s="11">
        <v>458600</v>
      </c>
      <c r="AF7" s="11">
        <v>0</v>
      </c>
      <c r="AG7" s="11">
        <v>458600</v>
      </c>
      <c r="AH7" s="11">
        <v>3943.96</v>
      </c>
      <c r="AI7" s="7">
        <v>0</v>
      </c>
      <c r="AJ7" s="11">
        <v>458600</v>
      </c>
      <c r="AK7" s="11">
        <v>0</v>
      </c>
      <c r="AL7" s="11">
        <v>458600</v>
      </c>
      <c r="AM7" s="11">
        <v>3943.96</v>
      </c>
      <c r="AN7" s="7">
        <v>0</v>
      </c>
      <c r="AO7" s="11">
        <v>458600</v>
      </c>
      <c r="AP7" s="11">
        <v>0</v>
      </c>
      <c r="AQ7" s="11">
        <v>458600</v>
      </c>
      <c r="AR7" s="11">
        <v>3943.96</v>
      </c>
      <c r="AS7" s="7">
        <v>0</v>
      </c>
    </row>
    <row r="8" spans="1:45" x14ac:dyDescent="0.3">
      <c r="A8" s="4" t="s">
        <v>23</v>
      </c>
      <c r="B8" s="4" t="s">
        <v>24</v>
      </c>
      <c r="C8" s="4" t="s">
        <v>15</v>
      </c>
      <c r="D8" s="5">
        <v>7.1999999999999998E-3</v>
      </c>
      <c r="E8" s="6">
        <v>332000</v>
      </c>
      <c r="F8" s="6">
        <v>0</v>
      </c>
      <c r="G8" s="6">
        <v>2390.4</v>
      </c>
      <c r="H8" s="6">
        <v>22.142900000000001</v>
      </c>
      <c r="I8" s="8" t="s">
        <v>16</v>
      </c>
      <c r="J8" s="24">
        <v>0</v>
      </c>
      <c r="K8" s="24">
        <v>0</v>
      </c>
      <c r="L8" s="24">
        <v>0</v>
      </c>
      <c r="M8" s="24">
        <v>0</v>
      </c>
      <c r="N8" s="25">
        <v>1</v>
      </c>
      <c r="O8" s="25">
        <v>1</v>
      </c>
      <c r="P8" s="6">
        <v>332000</v>
      </c>
      <c r="Q8" s="6">
        <v>0</v>
      </c>
      <c r="R8" s="6">
        <v>332000</v>
      </c>
      <c r="S8" s="6">
        <v>2390.4</v>
      </c>
      <c r="T8" s="7">
        <v>0</v>
      </c>
      <c r="U8" s="6">
        <v>332000</v>
      </c>
      <c r="V8" s="6">
        <v>0</v>
      </c>
      <c r="W8" s="6">
        <v>332000</v>
      </c>
      <c r="X8" s="6">
        <v>2390.4</v>
      </c>
      <c r="Y8" s="7">
        <v>0</v>
      </c>
      <c r="Z8" s="6">
        <v>332000</v>
      </c>
      <c r="AA8" s="6">
        <v>0</v>
      </c>
      <c r="AB8" s="6">
        <v>332000</v>
      </c>
      <c r="AC8" s="6">
        <v>2390.4</v>
      </c>
      <c r="AD8" s="7">
        <v>0</v>
      </c>
      <c r="AE8" s="6">
        <v>332000</v>
      </c>
      <c r="AF8" s="6">
        <v>0</v>
      </c>
      <c r="AG8" s="6">
        <v>332000</v>
      </c>
      <c r="AH8" s="6">
        <v>2390.4</v>
      </c>
      <c r="AI8" s="7">
        <v>0</v>
      </c>
      <c r="AJ8" s="6">
        <v>332000</v>
      </c>
      <c r="AK8" s="6">
        <v>0</v>
      </c>
      <c r="AL8" s="6">
        <v>332000</v>
      </c>
      <c r="AM8" s="6">
        <v>2390.4</v>
      </c>
      <c r="AN8" s="7">
        <v>0</v>
      </c>
      <c r="AO8" s="6">
        <v>332000</v>
      </c>
      <c r="AP8" s="6">
        <v>0</v>
      </c>
      <c r="AQ8" s="6">
        <v>332000</v>
      </c>
      <c r="AR8" s="6">
        <v>2390.4</v>
      </c>
      <c r="AS8" s="7">
        <v>0</v>
      </c>
    </row>
    <row r="9" spans="1:45" x14ac:dyDescent="0.3">
      <c r="A9" s="9" t="s">
        <v>25</v>
      </c>
      <c r="B9" s="9" t="s">
        <v>26</v>
      </c>
      <c r="C9" s="9" t="s">
        <v>15</v>
      </c>
      <c r="D9" s="10">
        <v>7.7000000000000002E-3</v>
      </c>
      <c r="E9" s="11">
        <v>1478000</v>
      </c>
      <c r="F9" s="11">
        <v>0</v>
      </c>
      <c r="G9" s="11">
        <v>11380.6</v>
      </c>
      <c r="H9" s="11">
        <v>22.142900000000001</v>
      </c>
      <c r="I9" s="8" t="s">
        <v>16</v>
      </c>
      <c r="J9" s="26">
        <v>0</v>
      </c>
      <c r="K9" s="26">
        <v>0</v>
      </c>
      <c r="L9" s="26">
        <v>0</v>
      </c>
      <c r="M9" s="26">
        <v>0</v>
      </c>
      <c r="N9" s="25">
        <v>1</v>
      </c>
      <c r="O9" s="25">
        <v>1</v>
      </c>
      <c r="P9" s="11">
        <v>1478000</v>
      </c>
      <c r="Q9" s="11">
        <v>0</v>
      </c>
      <c r="R9" s="11">
        <v>1478000</v>
      </c>
      <c r="S9" s="11">
        <v>11380.6</v>
      </c>
      <c r="T9" s="7">
        <v>0</v>
      </c>
      <c r="U9" s="11">
        <v>1478000</v>
      </c>
      <c r="V9" s="11">
        <v>0</v>
      </c>
      <c r="W9" s="11">
        <v>1478000</v>
      </c>
      <c r="X9" s="11">
        <v>11380.6</v>
      </c>
      <c r="Y9" s="7">
        <v>0</v>
      </c>
      <c r="Z9" s="11">
        <v>1478000</v>
      </c>
      <c r="AA9" s="11">
        <v>0</v>
      </c>
      <c r="AB9" s="11">
        <v>1478000</v>
      </c>
      <c r="AC9" s="11">
        <v>11380.6</v>
      </c>
      <c r="AD9" s="7">
        <v>0</v>
      </c>
      <c r="AE9" s="11">
        <v>1478000</v>
      </c>
      <c r="AF9" s="11">
        <v>0</v>
      </c>
      <c r="AG9" s="11">
        <v>1478000</v>
      </c>
      <c r="AH9" s="11">
        <v>11380.6</v>
      </c>
      <c r="AI9" s="7">
        <v>0</v>
      </c>
      <c r="AJ9" s="11">
        <v>1478000</v>
      </c>
      <c r="AK9" s="11">
        <v>0</v>
      </c>
      <c r="AL9" s="11">
        <v>1478000</v>
      </c>
      <c r="AM9" s="11">
        <v>11380.6</v>
      </c>
      <c r="AN9" s="7">
        <v>0</v>
      </c>
      <c r="AO9" s="11">
        <v>1478000</v>
      </c>
      <c r="AP9" s="11">
        <v>0</v>
      </c>
      <c r="AQ9" s="11">
        <v>1478000</v>
      </c>
      <c r="AR9" s="11">
        <v>11380.6</v>
      </c>
      <c r="AS9" s="7">
        <v>0</v>
      </c>
    </row>
    <row r="10" spans="1:45" x14ac:dyDescent="0.3">
      <c r="A10" s="4" t="s">
        <v>27</v>
      </c>
      <c r="B10" s="4" t="s">
        <v>28</v>
      </c>
      <c r="C10" s="4" t="s">
        <v>15</v>
      </c>
      <c r="D10" s="5">
        <v>8.2000000000000007E-3</v>
      </c>
      <c r="E10" s="6">
        <v>790000</v>
      </c>
      <c r="F10" s="6">
        <v>0</v>
      </c>
      <c r="G10" s="6">
        <v>6478</v>
      </c>
      <c r="H10" s="6">
        <v>22.142900000000001</v>
      </c>
      <c r="I10" s="8" t="s">
        <v>16</v>
      </c>
      <c r="J10" s="24">
        <v>0</v>
      </c>
      <c r="K10" s="24">
        <v>0</v>
      </c>
      <c r="L10" s="24">
        <v>0</v>
      </c>
      <c r="M10" s="24">
        <v>0</v>
      </c>
      <c r="N10" s="25">
        <v>1</v>
      </c>
      <c r="O10" s="25">
        <v>1</v>
      </c>
      <c r="P10" s="6">
        <v>790000</v>
      </c>
      <c r="Q10" s="6">
        <v>0</v>
      </c>
      <c r="R10" s="6">
        <v>790000</v>
      </c>
      <c r="S10" s="6">
        <v>6478</v>
      </c>
      <c r="T10" s="7">
        <v>0</v>
      </c>
      <c r="U10" s="6">
        <v>790000</v>
      </c>
      <c r="V10" s="6">
        <v>0</v>
      </c>
      <c r="W10" s="6">
        <v>790000</v>
      </c>
      <c r="X10" s="6">
        <v>6478</v>
      </c>
      <c r="Y10" s="7">
        <v>0</v>
      </c>
      <c r="Z10" s="6">
        <v>790000</v>
      </c>
      <c r="AA10" s="6">
        <v>0</v>
      </c>
      <c r="AB10" s="6">
        <v>790000</v>
      </c>
      <c r="AC10" s="6">
        <v>6478</v>
      </c>
      <c r="AD10" s="7">
        <v>0</v>
      </c>
      <c r="AE10" s="6">
        <v>790000</v>
      </c>
      <c r="AF10" s="6">
        <v>0</v>
      </c>
      <c r="AG10" s="6">
        <v>790000</v>
      </c>
      <c r="AH10" s="6">
        <v>6478</v>
      </c>
      <c r="AI10" s="7">
        <v>0</v>
      </c>
      <c r="AJ10" s="6">
        <v>790000</v>
      </c>
      <c r="AK10" s="6">
        <v>0</v>
      </c>
      <c r="AL10" s="6">
        <v>790000</v>
      </c>
      <c r="AM10" s="6">
        <v>6478</v>
      </c>
      <c r="AN10" s="7">
        <v>0</v>
      </c>
      <c r="AO10" s="6">
        <v>790000</v>
      </c>
      <c r="AP10" s="6">
        <v>0</v>
      </c>
      <c r="AQ10" s="6">
        <v>790000</v>
      </c>
      <c r="AR10" s="6">
        <v>6478</v>
      </c>
      <c r="AS10" s="7">
        <v>0</v>
      </c>
    </row>
    <row r="11" spans="1:45" x14ac:dyDescent="0.3">
      <c r="A11" s="9" t="s">
        <v>29</v>
      </c>
      <c r="B11" s="9" t="s">
        <v>30</v>
      </c>
      <c r="C11" s="9" t="s">
        <v>15</v>
      </c>
      <c r="D11" s="10">
        <v>5.7999999999999996E-3</v>
      </c>
      <c r="E11" s="11">
        <v>1180000</v>
      </c>
      <c r="F11" s="11">
        <v>0</v>
      </c>
      <c r="G11" s="11">
        <v>6844</v>
      </c>
      <c r="H11" s="11">
        <v>22.142900000000001</v>
      </c>
      <c r="I11" s="8" t="s">
        <v>16</v>
      </c>
      <c r="J11" s="26">
        <v>0</v>
      </c>
      <c r="K11" s="26">
        <v>0</v>
      </c>
      <c r="L11" s="26">
        <v>0</v>
      </c>
      <c r="M11" s="26">
        <v>0</v>
      </c>
      <c r="N11" s="25">
        <v>1</v>
      </c>
      <c r="O11" s="25">
        <v>1</v>
      </c>
      <c r="P11" s="11">
        <v>1180000</v>
      </c>
      <c r="Q11" s="11">
        <v>0</v>
      </c>
      <c r="R11" s="11">
        <v>1180000</v>
      </c>
      <c r="S11" s="11">
        <v>6844</v>
      </c>
      <c r="T11" s="7">
        <v>0</v>
      </c>
      <c r="U11" s="11">
        <v>1180000</v>
      </c>
      <c r="V11" s="11">
        <v>0</v>
      </c>
      <c r="W11" s="11">
        <v>1180000</v>
      </c>
      <c r="X11" s="11">
        <v>6844</v>
      </c>
      <c r="Y11" s="7">
        <v>0</v>
      </c>
      <c r="Z11" s="11">
        <v>1180000</v>
      </c>
      <c r="AA11" s="11">
        <v>0</v>
      </c>
      <c r="AB11" s="11">
        <v>1180000</v>
      </c>
      <c r="AC11" s="11">
        <v>6844</v>
      </c>
      <c r="AD11" s="7">
        <v>0</v>
      </c>
      <c r="AE11" s="11">
        <v>1180000</v>
      </c>
      <c r="AF11" s="11">
        <v>0</v>
      </c>
      <c r="AG11" s="11">
        <v>1180000</v>
      </c>
      <c r="AH11" s="11">
        <v>6844</v>
      </c>
      <c r="AI11" s="7">
        <v>0</v>
      </c>
      <c r="AJ11" s="11">
        <v>1180000</v>
      </c>
      <c r="AK11" s="11">
        <v>0</v>
      </c>
      <c r="AL11" s="11">
        <v>1180000</v>
      </c>
      <c r="AM11" s="11">
        <v>6844</v>
      </c>
      <c r="AN11" s="7">
        <v>0</v>
      </c>
      <c r="AO11" s="11">
        <v>1180000</v>
      </c>
      <c r="AP11" s="11">
        <v>0</v>
      </c>
      <c r="AQ11" s="11">
        <v>1180000</v>
      </c>
      <c r="AR11" s="11">
        <v>6844</v>
      </c>
      <c r="AS11" s="7">
        <v>0</v>
      </c>
    </row>
    <row r="12" spans="1:45" x14ac:dyDescent="0.3">
      <c r="A12" s="4" t="s">
        <v>31</v>
      </c>
      <c r="B12" s="4" t="s">
        <v>32</v>
      </c>
      <c r="C12" s="4" t="s">
        <v>15</v>
      </c>
      <c r="D12" s="5">
        <v>7.7000000000000002E-3</v>
      </c>
      <c r="E12" s="6">
        <v>683200</v>
      </c>
      <c r="F12" s="6">
        <v>0</v>
      </c>
      <c r="G12" s="6">
        <v>5260.64</v>
      </c>
      <c r="H12" s="6">
        <v>22.142900000000001</v>
      </c>
      <c r="I12" s="8" t="s">
        <v>16</v>
      </c>
      <c r="J12" s="24">
        <v>0</v>
      </c>
      <c r="K12" s="24">
        <v>0</v>
      </c>
      <c r="L12" s="24">
        <v>0</v>
      </c>
      <c r="M12" s="24">
        <v>0</v>
      </c>
      <c r="N12" s="25">
        <v>1</v>
      </c>
      <c r="O12" s="25">
        <v>1</v>
      </c>
      <c r="P12" s="6">
        <v>683200</v>
      </c>
      <c r="Q12" s="6">
        <v>0</v>
      </c>
      <c r="R12" s="6">
        <v>683200</v>
      </c>
      <c r="S12" s="6">
        <v>5260.64</v>
      </c>
      <c r="T12" s="7">
        <v>0</v>
      </c>
      <c r="U12" s="6">
        <v>683200</v>
      </c>
      <c r="V12" s="6">
        <v>0</v>
      </c>
      <c r="W12" s="6">
        <v>683200</v>
      </c>
      <c r="X12" s="6">
        <v>5260.64</v>
      </c>
      <c r="Y12" s="7">
        <v>0</v>
      </c>
      <c r="Z12" s="6">
        <v>683200</v>
      </c>
      <c r="AA12" s="6">
        <v>0</v>
      </c>
      <c r="AB12" s="6">
        <v>683200</v>
      </c>
      <c r="AC12" s="6">
        <v>5260.64</v>
      </c>
      <c r="AD12" s="7">
        <v>0</v>
      </c>
      <c r="AE12" s="6">
        <v>683200</v>
      </c>
      <c r="AF12" s="6">
        <v>0</v>
      </c>
      <c r="AG12" s="6">
        <v>683200</v>
      </c>
      <c r="AH12" s="6">
        <v>5260.64</v>
      </c>
      <c r="AI12" s="7">
        <v>0</v>
      </c>
      <c r="AJ12" s="6">
        <v>683200</v>
      </c>
      <c r="AK12" s="6">
        <v>0</v>
      </c>
      <c r="AL12" s="6">
        <v>683200</v>
      </c>
      <c r="AM12" s="6">
        <v>5260.64</v>
      </c>
      <c r="AN12" s="7">
        <v>0</v>
      </c>
      <c r="AO12" s="6">
        <v>683200</v>
      </c>
      <c r="AP12" s="6">
        <v>0</v>
      </c>
      <c r="AQ12" s="6">
        <v>683200</v>
      </c>
      <c r="AR12" s="6">
        <v>5260.64</v>
      </c>
      <c r="AS12" s="7">
        <v>0</v>
      </c>
    </row>
    <row r="13" spans="1:45" x14ac:dyDescent="0.3">
      <c r="A13" s="9" t="s">
        <v>33</v>
      </c>
      <c r="B13" s="9" t="s">
        <v>34</v>
      </c>
      <c r="C13" s="9" t="s">
        <v>15</v>
      </c>
      <c r="D13" s="10">
        <v>5.4999999999999997E-3</v>
      </c>
      <c r="E13" s="11">
        <v>2045000</v>
      </c>
      <c r="F13" s="11">
        <v>0</v>
      </c>
      <c r="G13" s="11">
        <v>11247.5</v>
      </c>
      <c r="H13" s="11">
        <v>22.142900000000001</v>
      </c>
      <c r="I13" s="8" t="s">
        <v>16</v>
      </c>
      <c r="J13" s="26">
        <v>0</v>
      </c>
      <c r="K13" s="26">
        <v>0</v>
      </c>
      <c r="L13" s="26">
        <v>0</v>
      </c>
      <c r="M13" s="26">
        <v>0</v>
      </c>
      <c r="N13" s="25">
        <v>1</v>
      </c>
      <c r="O13" s="25">
        <v>1</v>
      </c>
      <c r="P13" s="11">
        <v>2045000</v>
      </c>
      <c r="Q13" s="11">
        <v>0</v>
      </c>
      <c r="R13" s="11">
        <v>2045000</v>
      </c>
      <c r="S13" s="11">
        <v>11247.5</v>
      </c>
      <c r="T13" s="7">
        <v>0</v>
      </c>
      <c r="U13" s="11">
        <v>2045000</v>
      </c>
      <c r="V13" s="11">
        <v>0</v>
      </c>
      <c r="W13" s="11">
        <v>2045000</v>
      </c>
      <c r="X13" s="11">
        <v>11247.5</v>
      </c>
      <c r="Y13" s="7">
        <v>0</v>
      </c>
      <c r="Z13" s="11">
        <v>2045000</v>
      </c>
      <c r="AA13" s="11">
        <v>0</v>
      </c>
      <c r="AB13" s="11">
        <v>2045000</v>
      </c>
      <c r="AC13" s="11">
        <v>11247.5</v>
      </c>
      <c r="AD13" s="7">
        <v>0</v>
      </c>
      <c r="AE13" s="11">
        <v>2045000</v>
      </c>
      <c r="AF13" s="11">
        <v>0</v>
      </c>
      <c r="AG13" s="11">
        <v>2045000</v>
      </c>
      <c r="AH13" s="11">
        <v>11247.5</v>
      </c>
      <c r="AI13" s="7">
        <v>0</v>
      </c>
      <c r="AJ13" s="11">
        <v>2045000</v>
      </c>
      <c r="AK13" s="11">
        <v>0</v>
      </c>
      <c r="AL13" s="11">
        <v>2045000</v>
      </c>
      <c r="AM13" s="11">
        <v>11247.5</v>
      </c>
      <c r="AN13" s="7">
        <v>0</v>
      </c>
      <c r="AO13" s="11">
        <v>2045000</v>
      </c>
      <c r="AP13" s="11">
        <v>0</v>
      </c>
      <c r="AQ13" s="11">
        <v>2045000</v>
      </c>
      <c r="AR13" s="11">
        <v>11247.5</v>
      </c>
      <c r="AS13" s="7">
        <v>0</v>
      </c>
    </row>
    <row r="14" spans="1:45" x14ac:dyDescent="0.3">
      <c r="A14" s="4" t="s">
        <v>35</v>
      </c>
      <c r="B14" s="4" t="s">
        <v>36</v>
      </c>
      <c r="C14" s="4" t="s">
        <v>15</v>
      </c>
      <c r="D14" s="5">
        <v>6.4999999999999997E-3</v>
      </c>
      <c r="E14" s="6">
        <v>307000</v>
      </c>
      <c r="F14" s="6">
        <v>0</v>
      </c>
      <c r="G14" s="6">
        <v>1995.5</v>
      </c>
      <c r="H14" s="6">
        <v>22.142900000000001</v>
      </c>
      <c r="I14" s="8" t="s">
        <v>16</v>
      </c>
      <c r="J14" s="24">
        <v>0</v>
      </c>
      <c r="K14" s="24">
        <v>0</v>
      </c>
      <c r="L14" s="24">
        <v>0</v>
      </c>
      <c r="M14" s="24">
        <v>0</v>
      </c>
      <c r="N14" s="25">
        <v>1</v>
      </c>
      <c r="O14" s="25">
        <v>1</v>
      </c>
      <c r="P14" s="6">
        <v>307000</v>
      </c>
      <c r="Q14" s="6">
        <v>0</v>
      </c>
      <c r="R14" s="6">
        <v>307000</v>
      </c>
      <c r="S14" s="6">
        <v>1995.5</v>
      </c>
      <c r="T14" s="7">
        <v>0</v>
      </c>
      <c r="U14" s="6">
        <v>307000</v>
      </c>
      <c r="V14" s="6">
        <v>0</v>
      </c>
      <c r="W14" s="6">
        <v>307000</v>
      </c>
      <c r="X14" s="6">
        <v>1995.5</v>
      </c>
      <c r="Y14" s="7">
        <v>0</v>
      </c>
      <c r="Z14" s="6">
        <v>307000</v>
      </c>
      <c r="AA14" s="6">
        <v>0</v>
      </c>
      <c r="AB14" s="6">
        <v>307000</v>
      </c>
      <c r="AC14" s="6">
        <v>1995.5</v>
      </c>
      <c r="AD14" s="7">
        <v>0</v>
      </c>
      <c r="AE14" s="6">
        <v>307000</v>
      </c>
      <c r="AF14" s="6">
        <v>0</v>
      </c>
      <c r="AG14" s="6">
        <v>307000</v>
      </c>
      <c r="AH14" s="6">
        <v>1995.5</v>
      </c>
      <c r="AI14" s="7">
        <v>0</v>
      </c>
      <c r="AJ14" s="6">
        <v>307000</v>
      </c>
      <c r="AK14" s="6">
        <v>0</v>
      </c>
      <c r="AL14" s="6">
        <v>307000</v>
      </c>
      <c r="AM14" s="6">
        <v>1995.5</v>
      </c>
      <c r="AN14" s="7">
        <v>0</v>
      </c>
      <c r="AO14" s="6">
        <v>307000</v>
      </c>
      <c r="AP14" s="6">
        <v>0</v>
      </c>
      <c r="AQ14" s="6">
        <v>307000</v>
      </c>
      <c r="AR14" s="6">
        <v>1995.5</v>
      </c>
      <c r="AS14" s="7">
        <v>0</v>
      </c>
    </row>
    <row r="15" spans="1:45" x14ac:dyDescent="0.3">
      <c r="A15" s="9" t="s">
        <v>37</v>
      </c>
      <c r="B15" s="9" t="s">
        <v>38</v>
      </c>
      <c r="C15" s="9" t="s">
        <v>15</v>
      </c>
      <c r="D15" s="10">
        <v>4.4999999999999997E-3</v>
      </c>
      <c r="E15" s="11">
        <v>360000</v>
      </c>
      <c r="F15" s="11">
        <v>0</v>
      </c>
      <c r="G15" s="11">
        <v>1620</v>
      </c>
      <c r="H15" s="11">
        <v>22.142900000000001</v>
      </c>
      <c r="I15" s="8" t="s">
        <v>16</v>
      </c>
      <c r="J15" s="26">
        <v>0</v>
      </c>
      <c r="K15" s="26">
        <v>0</v>
      </c>
      <c r="L15" s="26">
        <v>0</v>
      </c>
      <c r="M15" s="26">
        <v>0</v>
      </c>
      <c r="N15" s="25">
        <v>1</v>
      </c>
      <c r="O15" s="25">
        <v>1</v>
      </c>
      <c r="P15" s="11">
        <v>360000</v>
      </c>
      <c r="Q15" s="11">
        <v>0</v>
      </c>
      <c r="R15" s="11">
        <v>360000</v>
      </c>
      <c r="S15" s="11">
        <v>1620</v>
      </c>
      <c r="T15" s="7">
        <v>0</v>
      </c>
      <c r="U15" s="11">
        <v>360000</v>
      </c>
      <c r="V15" s="11">
        <v>0</v>
      </c>
      <c r="W15" s="11">
        <v>360000</v>
      </c>
      <c r="X15" s="11">
        <v>1620</v>
      </c>
      <c r="Y15" s="7">
        <v>0</v>
      </c>
      <c r="Z15" s="11">
        <v>360000</v>
      </c>
      <c r="AA15" s="11">
        <v>0</v>
      </c>
      <c r="AB15" s="11">
        <v>360000</v>
      </c>
      <c r="AC15" s="11">
        <v>1620</v>
      </c>
      <c r="AD15" s="7">
        <v>0</v>
      </c>
      <c r="AE15" s="11">
        <v>360000</v>
      </c>
      <c r="AF15" s="11">
        <v>0</v>
      </c>
      <c r="AG15" s="11">
        <v>360000</v>
      </c>
      <c r="AH15" s="11">
        <v>1620</v>
      </c>
      <c r="AI15" s="7">
        <v>0</v>
      </c>
      <c r="AJ15" s="11">
        <v>360000</v>
      </c>
      <c r="AK15" s="11">
        <v>0</v>
      </c>
      <c r="AL15" s="11">
        <v>360000</v>
      </c>
      <c r="AM15" s="11">
        <v>1620</v>
      </c>
      <c r="AN15" s="7">
        <v>0</v>
      </c>
      <c r="AO15" s="11">
        <v>360000</v>
      </c>
      <c r="AP15" s="11">
        <v>0</v>
      </c>
      <c r="AQ15" s="11">
        <v>360000</v>
      </c>
      <c r="AR15" s="11">
        <v>1620</v>
      </c>
      <c r="AS15" s="7">
        <v>0</v>
      </c>
    </row>
    <row r="16" spans="1:45" x14ac:dyDescent="0.3">
      <c r="A16" s="4" t="s">
        <v>39</v>
      </c>
      <c r="B16" s="4" t="s">
        <v>40</v>
      </c>
      <c r="C16" s="4" t="s">
        <v>15</v>
      </c>
      <c r="D16" s="5">
        <v>3.8E-3</v>
      </c>
      <c r="E16" s="6">
        <v>2360000</v>
      </c>
      <c r="F16" s="6">
        <v>0</v>
      </c>
      <c r="G16" s="6">
        <v>8968</v>
      </c>
      <c r="H16" s="6">
        <v>22.142900000000001</v>
      </c>
      <c r="I16" s="8" t="s">
        <v>16</v>
      </c>
      <c r="J16" s="24">
        <v>0</v>
      </c>
      <c r="K16" s="24">
        <v>0</v>
      </c>
      <c r="L16" s="24">
        <v>0</v>
      </c>
      <c r="M16" s="24">
        <v>0</v>
      </c>
      <c r="N16" s="25">
        <v>1</v>
      </c>
      <c r="O16" s="25">
        <v>1</v>
      </c>
      <c r="P16" s="6">
        <v>2360000</v>
      </c>
      <c r="Q16" s="6">
        <v>0</v>
      </c>
      <c r="R16" s="6">
        <v>2360000</v>
      </c>
      <c r="S16" s="6">
        <v>8968</v>
      </c>
      <c r="T16" s="7">
        <v>0</v>
      </c>
      <c r="U16" s="6">
        <v>2360000</v>
      </c>
      <c r="V16" s="6">
        <v>0</v>
      </c>
      <c r="W16" s="6">
        <v>2360000</v>
      </c>
      <c r="X16" s="6">
        <v>8968</v>
      </c>
      <c r="Y16" s="7">
        <v>0</v>
      </c>
      <c r="Z16" s="6">
        <v>2360000</v>
      </c>
      <c r="AA16" s="6">
        <v>0</v>
      </c>
      <c r="AB16" s="6">
        <v>2360000</v>
      </c>
      <c r="AC16" s="6">
        <v>8968</v>
      </c>
      <c r="AD16" s="7">
        <v>0</v>
      </c>
      <c r="AE16" s="6">
        <v>2360000</v>
      </c>
      <c r="AF16" s="6">
        <v>0</v>
      </c>
      <c r="AG16" s="6">
        <v>2360000</v>
      </c>
      <c r="AH16" s="6">
        <v>8968</v>
      </c>
      <c r="AI16" s="7">
        <v>0</v>
      </c>
      <c r="AJ16" s="6">
        <v>2360000</v>
      </c>
      <c r="AK16" s="6">
        <v>0</v>
      </c>
      <c r="AL16" s="6">
        <v>2360000</v>
      </c>
      <c r="AM16" s="6">
        <v>8968</v>
      </c>
      <c r="AN16" s="7">
        <v>0</v>
      </c>
      <c r="AO16" s="6">
        <v>2360000</v>
      </c>
      <c r="AP16" s="6">
        <v>0</v>
      </c>
      <c r="AQ16" s="6">
        <v>2360000</v>
      </c>
      <c r="AR16" s="6">
        <v>8968</v>
      </c>
      <c r="AS16" s="7">
        <v>0</v>
      </c>
    </row>
    <row r="17" spans="1:45" x14ac:dyDescent="0.3">
      <c r="A17" s="9" t="s">
        <v>41</v>
      </c>
      <c r="B17" s="9" t="s">
        <v>42</v>
      </c>
      <c r="C17" s="9" t="s">
        <v>15</v>
      </c>
      <c r="D17" s="10">
        <v>4.0000000000000001E-3</v>
      </c>
      <c r="E17" s="11">
        <v>2174000</v>
      </c>
      <c r="F17" s="11">
        <v>0</v>
      </c>
      <c r="G17" s="11">
        <v>8696</v>
      </c>
      <c r="H17" s="11">
        <v>22.142900000000001</v>
      </c>
      <c r="I17" s="8" t="s">
        <v>16</v>
      </c>
      <c r="J17" s="26">
        <v>0</v>
      </c>
      <c r="K17" s="26">
        <v>0</v>
      </c>
      <c r="L17" s="26">
        <v>0</v>
      </c>
      <c r="M17" s="26">
        <v>0</v>
      </c>
      <c r="N17" s="25">
        <v>1</v>
      </c>
      <c r="O17" s="25">
        <v>1</v>
      </c>
      <c r="P17" s="11">
        <v>2174000</v>
      </c>
      <c r="Q17" s="11">
        <v>0</v>
      </c>
      <c r="R17" s="11">
        <v>2174000</v>
      </c>
      <c r="S17" s="11">
        <v>8696</v>
      </c>
      <c r="T17" s="7">
        <v>0</v>
      </c>
      <c r="U17" s="11">
        <v>2174000</v>
      </c>
      <c r="V17" s="11">
        <v>0</v>
      </c>
      <c r="W17" s="11">
        <v>2174000</v>
      </c>
      <c r="X17" s="11">
        <v>8696</v>
      </c>
      <c r="Y17" s="7">
        <v>0</v>
      </c>
      <c r="Z17" s="11">
        <v>2174000</v>
      </c>
      <c r="AA17" s="11">
        <v>0</v>
      </c>
      <c r="AB17" s="11">
        <v>2174000</v>
      </c>
      <c r="AC17" s="11">
        <v>8696</v>
      </c>
      <c r="AD17" s="7">
        <v>0</v>
      </c>
      <c r="AE17" s="11">
        <v>2174000</v>
      </c>
      <c r="AF17" s="11">
        <v>0</v>
      </c>
      <c r="AG17" s="11">
        <v>2174000</v>
      </c>
      <c r="AH17" s="11">
        <v>8696</v>
      </c>
      <c r="AI17" s="7">
        <v>0</v>
      </c>
      <c r="AJ17" s="11">
        <v>2174000</v>
      </c>
      <c r="AK17" s="11">
        <v>0</v>
      </c>
      <c r="AL17" s="11">
        <v>2174000</v>
      </c>
      <c r="AM17" s="11">
        <v>8696</v>
      </c>
      <c r="AN17" s="7">
        <v>0</v>
      </c>
      <c r="AO17" s="11">
        <v>2174000</v>
      </c>
      <c r="AP17" s="11">
        <v>0</v>
      </c>
      <c r="AQ17" s="11">
        <v>2174000</v>
      </c>
      <c r="AR17" s="11">
        <v>8696</v>
      </c>
      <c r="AS17" s="7">
        <v>0</v>
      </c>
    </row>
    <row r="18" spans="1:45" x14ac:dyDescent="0.3">
      <c r="A18" s="4" t="s">
        <v>43</v>
      </c>
      <c r="B18" s="4" t="s">
        <v>44</v>
      </c>
      <c r="C18" s="4" t="s">
        <v>15</v>
      </c>
      <c r="D18" s="5">
        <v>6.6E-3</v>
      </c>
      <c r="E18" s="6">
        <v>2286000</v>
      </c>
      <c r="F18" s="6">
        <v>0</v>
      </c>
      <c r="G18" s="6">
        <v>15087.6</v>
      </c>
      <c r="H18" s="6">
        <v>22.142900000000001</v>
      </c>
      <c r="I18" s="8" t="s">
        <v>16</v>
      </c>
      <c r="J18" s="24">
        <v>0</v>
      </c>
      <c r="K18" s="24">
        <v>0</v>
      </c>
      <c r="L18" s="24">
        <v>0</v>
      </c>
      <c r="M18" s="24">
        <v>0</v>
      </c>
      <c r="N18" s="25">
        <v>1</v>
      </c>
      <c r="O18" s="25">
        <v>1</v>
      </c>
      <c r="P18" s="6">
        <v>2286000</v>
      </c>
      <c r="Q18" s="6">
        <v>0</v>
      </c>
      <c r="R18" s="6">
        <v>2286000</v>
      </c>
      <c r="S18" s="6">
        <v>15087.6</v>
      </c>
      <c r="T18" s="7">
        <v>0</v>
      </c>
      <c r="U18" s="6">
        <v>2286000</v>
      </c>
      <c r="V18" s="6">
        <v>0</v>
      </c>
      <c r="W18" s="6">
        <v>2286000</v>
      </c>
      <c r="X18" s="6">
        <v>15087.6</v>
      </c>
      <c r="Y18" s="7">
        <v>0</v>
      </c>
      <c r="Z18" s="6">
        <v>2286000</v>
      </c>
      <c r="AA18" s="6">
        <v>0</v>
      </c>
      <c r="AB18" s="6">
        <v>2286000</v>
      </c>
      <c r="AC18" s="6">
        <v>15087.6</v>
      </c>
      <c r="AD18" s="7">
        <v>0</v>
      </c>
      <c r="AE18" s="6">
        <v>2286000</v>
      </c>
      <c r="AF18" s="6">
        <v>0</v>
      </c>
      <c r="AG18" s="6">
        <v>2286000</v>
      </c>
      <c r="AH18" s="6">
        <v>15087.6</v>
      </c>
      <c r="AI18" s="7">
        <v>0</v>
      </c>
      <c r="AJ18" s="6">
        <v>2286000</v>
      </c>
      <c r="AK18" s="6">
        <v>0</v>
      </c>
      <c r="AL18" s="6">
        <v>2286000</v>
      </c>
      <c r="AM18" s="6">
        <v>15087.6</v>
      </c>
      <c r="AN18" s="7">
        <v>0</v>
      </c>
      <c r="AO18" s="6">
        <v>2286000</v>
      </c>
      <c r="AP18" s="6">
        <v>0</v>
      </c>
      <c r="AQ18" s="6">
        <v>2286000</v>
      </c>
      <c r="AR18" s="6">
        <v>15087.6</v>
      </c>
      <c r="AS18" s="7">
        <v>0</v>
      </c>
    </row>
    <row r="19" spans="1:45" x14ac:dyDescent="0.3">
      <c r="A19" s="9" t="s">
        <v>45</v>
      </c>
      <c r="B19" s="9" t="s">
        <v>46</v>
      </c>
      <c r="C19" s="9" t="s">
        <v>15</v>
      </c>
      <c r="D19" s="10">
        <v>2.4899999999999999E-2</v>
      </c>
      <c r="E19" s="11">
        <v>2018000</v>
      </c>
      <c r="F19" s="11">
        <v>0</v>
      </c>
      <c r="G19" s="11">
        <v>50248.2</v>
      </c>
      <c r="H19" s="11">
        <v>22.142900000000001</v>
      </c>
      <c r="I19" s="8" t="s">
        <v>16</v>
      </c>
      <c r="J19" s="26">
        <v>0</v>
      </c>
      <c r="K19" s="26">
        <v>0</v>
      </c>
      <c r="L19" s="26">
        <v>0</v>
      </c>
      <c r="M19" s="26">
        <v>0</v>
      </c>
      <c r="N19" s="25">
        <v>1</v>
      </c>
      <c r="O19" s="25">
        <v>1</v>
      </c>
      <c r="P19" s="11">
        <v>2018000</v>
      </c>
      <c r="Q19" s="11">
        <v>0</v>
      </c>
      <c r="R19" s="11">
        <v>2018000</v>
      </c>
      <c r="S19" s="11">
        <v>50248.2</v>
      </c>
      <c r="T19" s="7">
        <v>0</v>
      </c>
      <c r="U19" s="11">
        <v>2018000</v>
      </c>
      <c r="V19" s="11">
        <v>0</v>
      </c>
      <c r="W19" s="11">
        <v>2018000</v>
      </c>
      <c r="X19" s="11">
        <v>50248.2</v>
      </c>
      <c r="Y19" s="7">
        <v>0</v>
      </c>
      <c r="Z19" s="11">
        <v>2018000</v>
      </c>
      <c r="AA19" s="11">
        <v>0</v>
      </c>
      <c r="AB19" s="11">
        <v>2018000</v>
      </c>
      <c r="AC19" s="11">
        <v>50248.2</v>
      </c>
      <c r="AD19" s="7">
        <v>0</v>
      </c>
      <c r="AE19" s="11">
        <v>2018000</v>
      </c>
      <c r="AF19" s="11">
        <v>0</v>
      </c>
      <c r="AG19" s="11">
        <v>2018000</v>
      </c>
      <c r="AH19" s="11">
        <v>50248.2</v>
      </c>
      <c r="AI19" s="7">
        <v>0</v>
      </c>
      <c r="AJ19" s="11">
        <v>2018000</v>
      </c>
      <c r="AK19" s="11">
        <v>0</v>
      </c>
      <c r="AL19" s="11">
        <v>2018000</v>
      </c>
      <c r="AM19" s="11">
        <v>50248.2</v>
      </c>
      <c r="AN19" s="7">
        <v>0</v>
      </c>
      <c r="AO19" s="11">
        <v>2018000</v>
      </c>
      <c r="AP19" s="11">
        <v>0</v>
      </c>
      <c r="AQ19" s="11">
        <v>2018000</v>
      </c>
      <c r="AR19" s="11">
        <v>50248.2</v>
      </c>
      <c r="AS19" s="7">
        <v>0</v>
      </c>
    </row>
    <row r="20" spans="1:45" x14ac:dyDescent="0.3">
      <c r="A20" s="4" t="s">
        <v>47</v>
      </c>
      <c r="B20" s="4" t="s">
        <v>48</v>
      </c>
      <c r="C20" s="4" t="s">
        <v>15</v>
      </c>
      <c r="D20" s="5">
        <v>7.2999999999999995E-2</v>
      </c>
      <c r="E20" s="6">
        <v>62000</v>
      </c>
      <c r="F20" s="6">
        <v>0</v>
      </c>
      <c r="G20" s="6">
        <v>4526</v>
      </c>
      <c r="H20" s="6">
        <v>22.142900000000001</v>
      </c>
      <c r="I20" s="8" t="s">
        <v>16</v>
      </c>
      <c r="J20" s="24">
        <v>0</v>
      </c>
      <c r="K20" s="24">
        <v>0</v>
      </c>
      <c r="L20" s="24">
        <v>0</v>
      </c>
      <c r="M20" s="24">
        <v>0</v>
      </c>
      <c r="N20" s="25">
        <v>1</v>
      </c>
      <c r="O20" s="25">
        <v>1</v>
      </c>
      <c r="P20" s="6">
        <v>62000</v>
      </c>
      <c r="Q20" s="6">
        <v>0</v>
      </c>
      <c r="R20" s="6">
        <v>62000</v>
      </c>
      <c r="S20" s="6">
        <v>4526</v>
      </c>
      <c r="T20" s="7">
        <v>0</v>
      </c>
      <c r="U20" s="6">
        <v>62000</v>
      </c>
      <c r="V20" s="6">
        <v>0</v>
      </c>
      <c r="W20" s="6">
        <v>62000</v>
      </c>
      <c r="X20" s="6">
        <v>4526</v>
      </c>
      <c r="Y20" s="7">
        <v>0</v>
      </c>
      <c r="Z20" s="6">
        <v>62000</v>
      </c>
      <c r="AA20" s="6">
        <v>0</v>
      </c>
      <c r="AB20" s="6">
        <v>62000</v>
      </c>
      <c r="AC20" s="6">
        <v>4526</v>
      </c>
      <c r="AD20" s="7">
        <v>0</v>
      </c>
      <c r="AE20" s="6">
        <v>62000</v>
      </c>
      <c r="AF20" s="6">
        <v>0</v>
      </c>
      <c r="AG20" s="6">
        <v>62000</v>
      </c>
      <c r="AH20" s="6">
        <v>4526</v>
      </c>
      <c r="AI20" s="7">
        <v>0</v>
      </c>
      <c r="AJ20" s="6">
        <v>62000</v>
      </c>
      <c r="AK20" s="6">
        <v>0</v>
      </c>
      <c r="AL20" s="6">
        <v>62000</v>
      </c>
      <c r="AM20" s="6">
        <v>4526</v>
      </c>
      <c r="AN20" s="7">
        <v>0</v>
      </c>
      <c r="AO20" s="6">
        <v>62000</v>
      </c>
      <c r="AP20" s="6">
        <v>0</v>
      </c>
      <c r="AQ20" s="6">
        <v>62000</v>
      </c>
      <c r="AR20" s="6">
        <v>4526</v>
      </c>
      <c r="AS20" s="7">
        <v>0</v>
      </c>
    </row>
    <row r="21" spans="1:45" x14ac:dyDescent="0.3">
      <c r="A21" s="9" t="s">
        <v>49</v>
      </c>
      <c r="B21" s="9" t="s">
        <v>50</v>
      </c>
      <c r="C21" s="9" t="s">
        <v>15</v>
      </c>
      <c r="D21" s="10">
        <v>1.4E-2</v>
      </c>
      <c r="E21" s="11">
        <v>89420</v>
      </c>
      <c r="F21" s="11">
        <v>0</v>
      </c>
      <c r="G21" s="11">
        <v>1251.8800000000001</v>
      </c>
      <c r="H21" s="11">
        <v>22.142900000000001</v>
      </c>
      <c r="I21" s="8" t="s">
        <v>16</v>
      </c>
      <c r="J21" s="26">
        <v>0</v>
      </c>
      <c r="K21" s="26">
        <v>0</v>
      </c>
      <c r="L21" s="26">
        <v>0</v>
      </c>
      <c r="M21" s="26">
        <v>0</v>
      </c>
      <c r="N21" s="25">
        <v>1</v>
      </c>
      <c r="O21" s="25">
        <v>1</v>
      </c>
      <c r="P21" s="11">
        <v>89420</v>
      </c>
      <c r="Q21" s="11">
        <v>0</v>
      </c>
      <c r="R21" s="11">
        <v>89420</v>
      </c>
      <c r="S21" s="11">
        <v>1251.8800000000001</v>
      </c>
      <c r="T21" s="7">
        <v>0</v>
      </c>
      <c r="U21" s="11">
        <v>89420</v>
      </c>
      <c r="V21" s="11">
        <v>0</v>
      </c>
      <c r="W21" s="11">
        <v>89420</v>
      </c>
      <c r="X21" s="11">
        <v>1251.8800000000001</v>
      </c>
      <c r="Y21" s="7">
        <v>0</v>
      </c>
      <c r="Z21" s="11">
        <v>89420</v>
      </c>
      <c r="AA21" s="11">
        <v>0</v>
      </c>
      <c r="AB21" s="11">
        <v>89420</v>
      </c>
      <c r="AC21" s="11">
        <v>1251.8800000000001</v>
      </c>
      <c r="AD21" s="7">
        <v>0</v>
      </c>
      <c r="AE21" s="11">
        <v>89420</v>
      </c>
      <c r="AF21" s="11">
        <v>0</v>
      </c>
      <c r="AG21" s="11">
        <v>89420</v>
      </c>
      <c r="AH21" s="11">
        <v>1251.8800000000001</v>
      </c>
      <c r="AI21" s="7">
        <v>0</v>
      </c>
      <c r="AJ21" s="11">
        <v>89420</v>
      </c>
      <c r="AK21" s="11">
        <v>0</v>
      </c>
      <c r="AL21" s="11">
        <v>89420</v>
      </c>
      <c r="AM21" s="11">
        <v>1251.8800000000001</v>
      </c>
      <c r="AN21" s="7">
        <v>0</v>
      </c>
      <c r="AO21" s="11">
        <v>89420</v>
      </c>
      <c r="AP21" s="11">
        <v>0</v>
      </c>
      <c r="AQ21" s="11">
        <v>89420</v>
      </c>
      <c r="AR21" s="11">
        <v>1251.8800000000001</v>
      </c>
      <c r="AS21" s="7">
        <v>0</v>
      </c>
    </row>
    <row r="22" spans="1:45" x14ac:dyDescent="0.3">
      <c r="A22" s="4" t="s">
        <v>51</v>
      </c>
      <c r="B22" s="4" t="s">
        <v>52</v>
      </c>
      <c r="C22" s="4" t="s">
        <v>15</v>
      </c>
      <c r="D22" s="5">
        <v>0.2041</v>
      </c>
      <c r="E22" s="6">
        <v>114561</v>
      </c>
      <c r="F22" s="6">
        <v>0</v>
      </c>
      <c r="G22" s="6">
        <v>23381.900099999999</v>
      </c>
      <c r="H22" s="6">
        <v>22.142900000000001</v>
      </c>
      <c r="I22" s="12" t="s">
        <v>53</v>
      </c>
      <c r="J22" s="24">
        <v>0</v>
      </c>
      <c r="K22" s="24">
        <v>0</v>
      </c>
      <c r="L22" s="27">
        <v>1</v>
      </c>
      <c r="M22" s="24">
        <v>0</v>
      </c>
      <c r="N22" s="24">
        <v>0</v>
      </c>
      <c r="O22" s="27">
        <v>1</v>
      </c>
      <c r="P22" s="6">
        <v>114561</v>
      </c>
      <c r="Q22" s="6">
        <v>0</v>
      </c>
      <c r="R22" s="6">
        <v>114561</v>
      </c>
      <c r="S22" s="6">
        <v>23381.900099999999</v>
      </c>
      <c r="T22" s="7">
        <v>0</v>
      </c>
      <c r="U22" s="6">
        <v>114561</v>
      </c>
      <c r="V22" s="6">
        <v>0</v>
      </c>
      <c r="W22" s="6">
        <v>114561</v>
      </c>
      <c r="X22" s="6">
        <v>23381.900099999999</v>
      </c>
      <c r="Y22" s="7">
        <v>0</v>
      </c>
      <c r="Z22" s="6">
        <v>114561</v>
      </c>
      <c r="AA22" s="6">
        <v>0</v>
      </c>
      <c r="AB22" s="6">
        <v>114561</v>
      </c>
      <c r="AC22" s="6">
        <v>23381.900099999999</v>
      </c>
      <c r="AD22" s="7">
        <v>0</v>
      </c>
      <c r="AE22" s="6">
        <v>114561</v>
      </c>
      <c r="AF22" s="6">
        <v>0</v>
      </c>
      <c r="AG22" s="6">
        <v>114561</v>
      </c>
      <c r="AH22" s="6">
        <v>23381.900099999999</v>
      </c>
      <c r="AI22" s="7">
        <v>0</v>
      </c>
      <c r="AJ22" s="6">
        <v>114561</v>
      </c>
      <c r="AK22" s="6">
        <v>0</v>
      </c>
      <c r="AL22" s="6">
        <v>114561</v>
      </c>
      <c r="AM22" s="6">
        <v>23381.900099999999</v>
      </c>
      <c r="AN22" s="7">
        <v>0</v>
      </c>
      <c r="AO22" s="6">
        <v>114561</v>
      </c>
      <c r="AP22" s="6">
        <v>0</v>
      </c>
      <c r="AQ22" s="6">
        <v>114561</v>
      </c>
      <c r="AR22" s="6">
        <v>23381.900099999999</v>
      </c>
      <c r="AS22" s="7">
        <v>0</v>
      </c>
    </row>
    <row r="23" spans="1:45" x14ac:dyDescent="0.3">
      <c r="A23" s="9" t="s">
        <v>54</v>
      </c>
      <c r="B23" s="9" t="s">
        <v>55</v>
      </c>
      <c r="C23" s="9" t="s">
        <v>15</v>
      </c>
      <c r="D23" s="10">
        <v>0.28610000000000002</v>
      </c>
      <c r="E23" s="11">
        <v>95882</v>
      </c>
      <c r="F23" s="11">
        <v>0</v>
      </c>
      <c r="G23" s="11">
        <v>27431.840199999999</v>
      </c>
      <c r="H23" s="11">
        <v>22.142900000000001</v>
      </c>
      <c r="I23" s="12" t="s">
        <v>53</v>
      </c>
      <c r="J23" s="26">
        <v>0</v>
      </c>
      <c r="K23" s="26">
        <v>0</v>
      </c>
      <c r="L23" s="27">
        <v>1</v>
      </c>
      <c r="M23" s="26">
        <v>0</v>
      </c>
      <c r="N23" s="26">
        <v>0</v>
      </c>
      <c r="O23" s="27">
        <v>1</v>
      </c>
      <c r="P23" s="11">
        <v>95882</v>
      </c>
      <c r="Q23" s="11">
        <v>0</v>
      </c>
      <c r="R23" s="11">
        <v>95882</v>
      </c>
      <c r="S23" s="11">
        <v>27431.840199999999</v>
      </c>
      <c r="T23" s="7">
        <v>0</v>
      </c>
      <c r="U23" s="11">
        <v>95882</v>
      </c>
      <c r="V23" s="11">
        <v>0</v>
      </c>
      <c r="W23" s="11">
        <v>95882</v>
      </c>
      <c r="X23" s="11">
        <v>27431.840199999999</v>
      </c>
      <c r="Y23" s="7">
        <v>0</v>
      </c>
      <c r="Z23" s="11">
        <v>95882</v>
      </c>
      <c r="AA23" s="11">
        <v>0</v>
      </c>
      <c r="AB23" s="11">
        <v>95882</v>
      </c>
      <c r="AC23" s="11">
        <v>27431.840199999999</v>
      </c>
      <c r="AD23" s="7">
        <v>0</v>
      </c>
      <c r="AE23" s="11">
        <v>95882</v>
      </c>
      <c r="AF23" s="11">
        <v>0</v>
      </c>
      <c r="AG23" s="11">
        <v>95882</v>
      </c>
      <c r="AH23" s="11">
        <v>27431.840199999999</v>
      </c>
      <c r="AI23" s="7">
        <v>0</v>
      </c>
      <c r="AJ23" s="11">
        <v>95882</v>
      </c>
      <c r="AK23" s="11">
        <v>0</v>
      </c>
      <c r="AL23" s="11">
        <v>95882</v>
      </c>
      <c r="AM23" s="11">
        <v>27431.840199999999</v>
      </c>
      <c r="AN23" s="7">
        <v>0</v>
      </c>
      <c r="AO23" s="11">
        <v>95882</v>
      </c>
      <c r="AP23" s="11">
        <v>0</v>
      </c>
      <c r="AQ23" s="11">
        <v>95882</v>
      </c>
      <c r="AR23" s="11">
        <v>27431.840199999999</v>
      </c>
      <c r="AS23" s="7">
        <v>0</v>
      </c>
    </row>
    <row r="24" spans="1:45" x14ac:dyDescent="0.3">
      <c r="A24" s="4" t="s">
        <v>56</v>
      </c>
      <c r="B24" s="4" t="s">
        <v>57</v>
      </c>
      <c r="C24" s="4" t="s">
        <v>15</v>
      </c>
      <c r="D24" s="5">
        <v>4.19E-2</v>
      </c>
      <c r="E24" s="6">
        <v>169272</v>
      </c>
      <c r="F24" s="6">
        <v>0</v>
      </c>
      <c r="G24" s="6">
        <v>7092.4967999999999</v>
      </c>
      <c r="H24" s="6">
        <v>22.142900000000001</v>
      </c>
      <c r="I24" s="12" t="s">
        <v>53</v>
      </c>
      <c r="J24" s="24">
        <v>0</v>
      </c>
      <c r="K24" s="24">
        <v>0</v>
      </c>
      <c r="L24" s="27">
        <v>1</v>
      </c>
      <c r="M24" s="24">
        <v>0</v>
      </c>
      <c r="N24" s="24">
        <v>0</v>
      </c>
      <c r="O24" s="27">
        <v>1</v>
      </c>
      <c r="P24" s="6">
        <v>169272</v>
      </c>
      <c r="Q24" s="6">
        <v>0</v>
      </c>
      <c r="R24" s="6">
        <v>169272</v>
      </c>
      <c r="S24" s="6">
        <v>7092.4967999999999</v>
      </c>
      <c r="T24" s="7">
        <v>0</v>
      </c>
      <c r="U24" s="6">
        <v>169272</v>
      </c>
      <c r="V24" s="6">
        <v>0</v>
      </c>
      <c r="W24" s="6">
        <v>169272</v>
      </c>
      <c r="X24" s="6">
        <v>7092.4967999999999</v>
      </c>
      <c r="Y24" s="7">
        <v>0</v>
      </c>
      <c r="Z24" s="6">
        <v>169272</v>
      </c>
      <c r="AA24" s="6">
        <v>0</v>
      </c>
      <c r="AB24" s="6">
        <v>169272</v>
      </c>
      <c r="AC24" s="6">
        <v>7092.4967999999999</v>
      </c>
      <c r="AD24" s="7">
        <v>0</v>
      </c>
      <c r="AE24" s="6">
        <v>169272</v>
      </c>
      <c r="AF24" s="6">
        <v>0</v>
      </c>
      <c r="AG24" s="6">
        <v>169272</v>
      </c>
      <c r="AH24" s="6">
        <v>7092.4967999999999</v>
      </c>
      <c r="AI24" s="7">
        <v>0</v>
      </c>
      <c r="AJ24" s="6">
        <v>169272</v>
      </c>
      <c r="AK24" s="6">
        <v>0</v>
      </c>
      <c r="AL24" s="6">
        <v>169272</v>
      </c>
      <c r="AM24" s="6">
        <v>7092.4967999999999</v>
      </c>
      <c r="AN24" s="7">
        <v>0</v>
      </c>
      <c r="AO24" s="6">
        <v>169272</v>
      </c>
      <c r="AP24" s="6">
        <v>0</v>
      </c>
      <c r="AQ24" s="6">
        <v>169272</v>
      </c>
      <c r="AR24" s="6">
        <v>7092.4967999999999</v>
      </c>
      <c r="AS24" s="7">
        <v>0</v>
      </c>
    </row>
    <row r="25" spans="1:45" x14ac:dyDescent="0.3">
      <c r="A25" s="9" t="s">
        <v>58</v>
      </c>
      <c r="B25" s="9" t="s">
        <v>59</v>
      </c>
      <c r="C25" s="9" t="s">
        <v>60</v>
      </c>
      <c r="D25" s="10">
        <v>5.6899999999999999E-2</v>
      </c>
      <c r="E25" s="11">
        <v>47842</v>
      </c>
      <c r="F25" s="11">
        <v>0</v>
      </c>
      <c r="G25" s="11">
        <v>2722.2098000000001</v>
      </c>
      <c r="H25" s="11">
        <v>0.85709999999999997</v>
      </c>
      <c r="I25" s="12" t="s">
        <v>53</v>
      </c>
      <c r="J25" s="26">
        <v>0</v>
      </c>
      <c r="K25" s="26">
        <v>0</v>
      </c>
      <c r="L25" s="27">
        <v>1</v>
      </c>
      <c r="M25" s="26">
        <v>0</v>
      </c>
      <c r="N25" s="26">
        <v>0</v>
      </c>
      <c r="O25" s="27">
        <v>1</v>
      </c>
      <c r="P25" s="11">
        <v>47842</v>
      </c>
      <c r="Q25" s="11">
        <v>0</v>
      </c>
      <c r="R25" s="11">
        <v>47842</v>
      </c>
      <c r="S25" s="11">
        <v>2722.2098000000001</v>
      </c>
      <c r="T25" s="7">
        <v>0</v>
      </c>
      <c r="U25" s="11">
        <v>47842</v>
      </c>
      <c r="V25" s="11">
        <v>0</v>
      </c>
      <c r="W25" s="11">
        <v>47842</v>
      </c>
      <c r="X25" s="11">
        <v>2722.2098000000001</v>
      </c>
      <c r="Y25" s="7">
        <v>0</v>
      </c>
      <c r="Z25" s="11">
        <v>47842</v>
      </c>
      <c r="AA25" s="11">
        <v>0</v>
      </c>
      <c r="AB25" s="11">
        <v>47842</v>
      </c>
      <c r="AC25" s="11">
        <v>2722.2098000000001</v>
      </c>
      <c r="AD25" s="7">
        <v>0</v>
      </c>
      <c r="AE25" s="11">
        <v>47842</v>
      </c>
      <c r="AF25" s="11">
        <v>0</v>
      </c>
      <c r="AG25" s="11">
        <v>47842</v>
      </c>
      <c r="AH25" s="11">
        <v>2722.2098000000001</v>
      </c>
      <c r="AI25" s="7">
        <v>0</v>
      </c>
      <c r="AJ25" s="11">
        <v>47842</v>
      </c>
      <c r="AK25" s="11">
        <v>0</v>
      </c>
      <c r="AL25" s="11">
        <v>47842</v>
      </c>
      <c r="AM25" s="11">
        <v>2722.2098000000001</v>
      </c>
      <c r="AN25" s="7">
        <v>0</v>
      </c>
      <c r="AO25" s="11">
        <v>47842</v>
      </c>
      <c r="AP25" s="11">
        <v>0</v>
      </c>
      <c r="AQ25" s="11">
        <v>47842</v>
      </c>
      <c r="AR25" s="11">
        <v>2722.2098000000001</v>
      </c>
      <c r="AS25" s="7">
        <v>0</v>
      </c>
    </row>
    <row r="26" spans="1:45" x14ac:dyDescent="0.3">
      <c r="A26" s="4" t="s">
        <v>61</v>
      </c>
      <c r="B26" s="4" t="s">
        <v>62</v>
      </c>
      <c r="C26" s="4" t="s">
        <v>15</v>
      </c>
      <c r="D26" s="5">
        <v>2.7699999999999999E-2</v>
      </c>
      <c r="E26" s="6">
        <v>256000</v>
      </c>
      <c r="F26" s="6">
        <v>0</v>
      </c>
      <c r="G26" s="6">
        <v>7091.2</v>
      </c>
      <c r="H26" s="6">
        <v>22.142900000000001</v>
      </c>
      <c r="I26" s="8" t="s">
        <v>16</v>
      </c>
      <c r="J26" s="24">
        <v>0</v>
      </c>
      <c r="K26" s="24">
        <v>0</v>
      </c>
      <c r="L26" s="24">
        <v>0</v>
      </c>
      <c r="M26" s="24">
        <v>0</v>
      </c>
      <c r="N26" s="25">
        <v>1</v>
      </c>
      <c r="O26" s="25">
        <v>1</v>
      </c>
      <c r="P26" s="6">
        <v>256000</v>
      </c>
      <c r="Q26" s="6">
        <v>0</v>
      </c>
      <c r="R26" s="6">
        <v>256000</v>
      </c>
      <c r="S26" s="6">
        <v>7091.2</v>
      </c>
      <c r="T26" s="7">
        <v>0</v>
      </c>
      <c r="U26" s="6">
        <v>256000</v>
      </c>
      <c r="V26" s="6">
        <v>0</v>
      </c>
      <c r="W26" s="6">
        <v>256000</v>
      </c>
      <c r="X26" s="6">
        <v>7091.2</v>
      </c>
      <c r="Y26" s="7">
        <v>0</v>
      </c>
      <c r="Z26" s="6">
        <v>256000</v>
      </c>
      <c r="AA26" s="6">
        <v>0</v>
      </c>
      <c r="AB26" s="6">
        <v>256000</v>
      </c>
      <c r="AC26" s="6">
        <v>7091.2</v>
      </c>
      <c r="AD26" s="7">
        <v>0</v>
      </c>
      <c r="AE26" s="6">
        <v>256000</v>
      </c>
      <c r="AF26" s="6">
        <v>0</v>
      </c>
      <c r="AG26" s="6">
        <v>256000</v>
      </c>
      <c r="AH26" s="6">
        <v>7091.2</v>
      </c>
      <c r="AI26" s="7">
        <v>0</v>
      </c>
      <c r="AJ26" s="6">
        <v>256000</v>
      </c>
      <c r="AK26" s="6">
        <v>0</v>
      </c>
      <c r="AL26" s="6">
        <v>256000</v>
      </c>
      <c r="AM26" s="6">
        <v>7091.2</v>
      </c>
      <c r="AN26" s="7">
        <v>0</v>
      </c>
      <c r="AO26" s="6">
        <v>256000</v>
      </c>
      <c r="AP26" s="6">
        <v>0</v>
      </c>
      <c r="AQ26" s="6">
        <v>256000</v>
      </c>
      <c r="AR26" s="6">
        <v>7091.2</v>
      </c>
      <c r="AS26" s="7">
        <v>0</v>
      </c>
    </row>
    <row r="27" spans="1:45" x14ac:dyDescent="0.3">
      <c r="A27" s="9" t="s">
        <v>63</v>
      </c>
      <c r="B27" s="9" t="s">
        <v>64</v>
      </c>
      <c r="C27" s="9" t="s">
        <v>15</v>
      </c>
      <c r="D27" s="10">
        <v>1.47E-2</v>
      </c>
      <c r="E27" s="11">
        <v>160000</v>
      </c>
      <c r="F27" s="11">
        <v>0</v>
      </c>
      <c r="G27" s="11">
        <v>2352</v>
      </c>
      <c r="H27" s="11">
        <v>22.142900000000001</v>
      </c>
      <c r="I27" s="12" t="s">
        <v>53</v>
      </c>
      <c r="J27" s="26">
        <v>0</v>
      </c>
      <c r="K27" s="26">
        <v>0</v>
      </c>
      <c r="L27" s="27">
        <v>1</v>
      </c>
      <c r="M27" s="26">
        <v>0</v>
      </c>
      <c r="N27" s="26">
        <v>0</v>
      </c>
      <c r="O27" s="27">
        <v>1</v>
      </c>
      <c r="P27" s="11">
        <v>160000</v>
      </c>
      <c r="Q27" s="11">
        <v>0</v>
      </c>
      <c r="R27" s="11">
        <v>160000</v>
      </c>
      <c r="S27" s="11">
        <v>2352</v>
      </c>
      <c r="T27" s="7">
        <v>0</v>
      </c>
      <c r="U27" s="11">
        <v>160000</v>
      </c>
      <c r="V27" s="11">
        <v>0</v>
      </c>
      <c r="W27" s="11">
        <v>160000</v>
      </c>
      <c r="X27" s="11">
        <v>2352</v>
      </c>
      <c r="Y27" s="7">
        <v>0</v>
      </c>
      <c r="Z27" s="11">
        <v>160000</v>
      </c>
      <c r="AA27" s="11">
        <v>0</v>
      </c>
      <c r="AB27" s="11">
        <v>160000</v>
      </c>
      <c r="AC27" s="11">
        <v>2352</v>
      </c>
      <c r="AD27" s="7">
        <v>0</v>
      </c>
      <c r="AE27" s="11">
        <v>160000</v>
      </c>
      <c r="AF27" s="11">
        <v>0</v>
      </c>
      <c r="AG27" s="11">
        <v>160000</v>
      </c>
      <c r="AH27" s="11">
        <v>2352</v>
      </c>
      <c r="AI27" s="7">
        <v>0</v>
      </c>
      <c r="AJ27" s="11">
        <v>160000</v>
      </c>
      <c r="AK27" s="11">
        <v>0</v>
      </c>
      <c r="AL27" s="11">
        <v>160000</v>
      </c>
      <c r="AM27" s="11">
        <v>2352</v>
      </c>
      <c r="AN27" s="7">
        <v>0</v>
      </c>
      <c r="AO27" s="11">
        <v>160000</v>
      </c>
      <c r="AP27" s="11">
        <v>0</v>
      </c>
      <c r="AQ27" s="11">
        <v>160000</v>
      </c>
      <c r="AR27" s="11">
        <v>2352</v>
      </c>
      <c r="AS27" s="7">
        <v>0</v>
      </c>
    </row>
    <row r="28" spans="1:45" x14ac:dyDescent="0.3">
      <c r="A28" s="4" t="s">
        <v>65</v>
      </c>
      <c r="B28" s="4" t="s">
        <v>66</v>
      </c>
      <c r="C28" s="4" t="s">
        <v>15</v>
      </c>
      <c r="D28" s="5">
        <v>1.47E-2</v>
      </c>
      <c r="E28" s="6">
        <v>200000</v>
      </c>
      <c r="F28" s="6">
        <v>0</v>
      </c>
      <c r="G28" s="6">
        <v>2940</v>
      </c>
      <c r="H28" s="6">
        <v>22.142900000000001</v>
      </c>
      <c r="I28" s="12" t="s">
        <v>53</v>
      </c>
      <c r="J28" s="24">
        <v>0</v>
      </c>
      <c r="K28" s="24">
        <v>0</v>
      </c>
      <c r="L28" s="27">
        <v>1</v>
      </c>
      <c r="M28" s="24">
        <v>0</v>
      </c>
      <c r="N28" s="24">
        <v>0</v>
      </c>
      <c r="O28" s="27">
        <v>1</v>
      </c>
      <c r="P28" s="6">
        <v>200000</v>
      </c>
      <c r="Q28" s="6">
        <v>0</v>
      </c>
      <c r="R28" s="6">
        <v>200000</v>
      </c>
      <c r="S28" s="6">
        <v>2940</v>
      </c>
      <c r="T28" s="7">
        <v>0</v>
      </c>
      <c r="U28" s="6">
        <v>200000</v>
      </c>
      <c r="V28" s="6">
        <v>0</v>
      </c>
      <c r="W28" s="6">
        <v>200000</v>
      </c>
      <c r="X28" s="6">
        <v>2940</v>
      </c>
      <c r="Y28" s="7">
        <v>0</v>
      </c>
      <c r="Z28" s="6">
        <v>200000</v>
      </c>
      <c r="AA28" s="6">
        <v>0</v>
      </c>
      <c r="AB28" s="6">
        <v>200000</v>
      </c>
      <c r="AC28" s="6">
        <v>2940</v>
      </c>
      <c r="AD28" s="7">
        <v>0</v>
      </c>
      <c r="AE28" s="6">
        <v>200000</v>
      </c>
      <c r="AF28" s="6">
        <v>0</v>
      </c>
      <c r="AG28" s="6">
        <v>200000</v>
      </c>
      <c r="AH28" s="6">
        <v>2940</v>
      </c>
      <c r="AI28" s="7">
        <v>0</v>
      </c>
      <c r="AJ28" s="6">
        <v>200000</v>
      </c>
      <c r="AK28" s="6">
        <v>0</v>
      </c>
      <c r="AL28" s="6">
        <v>200000</v>
      </c>
      <c r="AM28" s="6">
        <v>2940</v>
      </c>
      <c r="AN28" s="7">
        <v>0</v>
      </c>
      <c r="AO28" s="6">
        <v>200000</v>
      </c>
      <c r="AP28" s="6">
        <v>0</v>
      </c>
      <c r="AQ28" s="6">
        <v>200000</v>
      </c>
      <c r="AR28" s="6">
        <v>2940</v>
      </c>
      <c r="AS28" s="7">
        <v>0</v>
      </c>
    </row>
    <row r="29" spans="1:45" x14ac:dyDescent="0.3">
      <c r="A29" s="9" t="s">
        <v>67</v>
      </c>
      <c r="B29" s="9" t="s">
        <v>68</v>
      </c>
      <c r="C29" s="9" t="s">
        <v>69</v>
      </c>
      <c r="D29" s="10">
        <v>10.42</v>
      </c>
      <c r="E29" s="11">
        <v>7820</v>
      </c>
      <c r="F29" s="11">
        <v>0</v>
      </c>
      <c r="G29" s="11">
        <v>81484.399999999994</v>
      </c>
      <c r="H29" s="11">
        <v>0.35709999999999997</v>
      </c>
      <c r="I29" s="8" t="s">
        <v>16</v>
      </c>
      <c r="J29" s="26">
        <v>0</v>
      </c>
      <c r="K29" s="26">
        <v>0</v>
      </c>
      <c r="L29" s="26">
        <v>0</v>
      </c>
      <c r="M29" s="26">
        <v>0</v>
      </c>
      <c r="N29" s="25">
        <v>1</v>
      </c>
      <c r="O29" s="25">
        <v>1</v>
      </c>
      <c r="P29" s="11">
        <v>7820</v>
      </c>
      <c r="Q29" s="11">
        <v>0</v>
      </c>
      <c r="R29" s="11">
        <v>7820</v>
      </c>
      <c r="S29" s="11">
        <v>81484.399999999994</v>
      </c>
      <c r="T29" s="7">
        <v>0</v>
      </c>
      <c r="U29" s="11">
        <v>7820</v>
      </c>
      <c r="V29" s="11">
        <v>0</v>
      </c>
      <c r="W29" s="11">
        <v>7820</v>
      </c>
      <c r="X29" s="11">
        <v>81484.399999999994</v>
      </c>
      <c r="Y29" s="7">
        <v>0</v>
      </c>
      <c r="Z29" s="11">
        <v>7820</v>
      </c>
      <c r="AA29" s="11">
        <v>0</v>
      </c>
      <c r="AB29" s="11">
        <v>7820</v>
      </c>
      <c r="AC29" s="11">
        <v>81484.399999999994</v>
      </c>
      <c r="AD29" s="7">
        <v>0</v>
      </c>
      <c r="AE29" s="11">
        <v>7820</v>
      </c>
      <c r="AF29" s="11">
        <v>0</v>
      </c>
      <c r="AG29" s="11">
        <v>7820</v>
      </c>
      <c r="AH29" s="11">
        <v>81484.399999999994</v>
      </c>
      <c r="AI29" s="7">
        <v>0</v>
      </c>
      <c r="AJ29" s="11">
        <v>7820</v>
      </c>
      <c r="AK29" s="11">
        <v>0</v>
      </c>
      <c r="AL29" s="11">
        <v>7820</v>
      </c>
      <c r="AM29" s="11">
        <v>81484.399999999994</v>
      </c>
      <c r="AN29" s="7">
        <v>0</v>
      </c>
      <c r="AO29" s="11">
        <v>7820</v>
      </c>
      <c r="AP29" s="11">
        <v>0</v>
      </c>
      <c r="AQ29" s="11">
        <v>7820</v>
      </c>
      <c r="AR29" s="11">
        <v>81484.399999999994</v>
      </c>
      <c r="AS29" s="7">
        <v>0</v>
      </c>
    </row>
    <row r="30" spans="1:45" x14ac:dyDescent="0.3">
      <c r="A30" s="4" t="s">
        <v>70</v>
      </c>
      <c r="B30" s="4" t="s">
        <v>71</v>
      </c>
      <c r="C30" s="4" t="s">
        <v>15</v>
      </c>
      <c r="D30" s="5">
        <v>3.0499999999999999E-2</v>
      </c>
      <c r="E30" s="6">
        <v>547500</v>
      </c>
      <c r="F30" s="6">
        <v>0</v>
      </c>
      <c r="G30" s="6">
        <v>16698.75</v>
      </c>
      <c r="H30" s="6">
        <v>22.142900000000001</v>
      </c>
      <c r="I30" s="12" t="s">
        <v>53</v>
      </c>
      <c r="J30" s="24">
        <v>0</v>
      </c>
      <c r="K30" s="24">
        <v>0</v>
      </c>
      <c r="L30" s="27">
        <v>1</v>
      </c>
      <c r="M30" s="24">
        <v>0</v>
      </c>
      <c r="N30" s="24">
        <v>0</v>
      </c>
      <c r="O30" s="27">
        <v>1</v>
      </c>
      <c r="P30" s="6">
        <v>547500</v>
      </c>
      <c r="Q30" s="6">
        <v>0</v>
      </c>
      <c r="R30" s="6">
        <v>547500</v>
      </c>
      <c r="S30" s="6">
        <v>16698.75</v>
      </c>
      <c r="T30" s="7">
        <v>0</v>
      </c>
      <c r="U30" s="6">
        <v>547500</v>
      </c>
      <c r="V30" s="6">
        <v>0</v>
      </c>
      <c r="W30" s="6">
        <v>547500</v>
      </c>
      <c r="X30" s="6">
        <v>16698.75</v>
      </c>
      <c r="Y30" s="7">
        <v>0</v>
      </c>
      <c r="Z30" s="6">
        <v>547500</v>
      </c>
      <c r="AA30" s="6">
        <v>0</v>
      </c>
      <c r="AB30" s="6">
        <v>547500</v>
      </c>
      <c r="AC30" s="6">
        <v>16698.75</v>
      </c>
      <c r="AD30" s="7">
        <v>0</v>
      </c>
      <c r="AE30" s="6">
        <v>547500</v>
      </c>
      <c r="AF30" s="6">
        <v>0</v>
      </c>
      <c r="AG30" s="6">
        <v>547500</v>
      </c>
      <c r="AH30" s="6">
        <v>16698.75</v>
      </c>
      <c r="AI30" s="7">
        <v>0</v>
      </c>
      <c r="AJ30" s="6">
        <v>547500</v>
      </c>
      <c r="AK30" s="6">
        <v>0</v>
      </c>
      <c r="AL30" s="6">
        <v>547500</v>
      </c>
      <c r="AM30" s="6">
        <v>16698.75</v>
      </c>
      <c r="AN30" s="7">
        <v>0</v>
      </c>
      <c r="AO30" s="6">
        <v>547500</v>
      </c>
      <c r="AP30" s="6">
        <v>0</v>
      </c>
      <c r="AQ30" s="6">
        <v>547500</v>
      </c>
      <c r="AR30" s="6">
        <v>16698.75</v>
      </c>
      <c r="AS30" s="7">
        <v>0</v>
      </c>
    </row>
    <row r="31" spans="1:45" x14ac:dyDescent="0.3">
      <c r="A31" s="9" t="s">
        <v>72</v>
      </c>
      <c r="B31" s="9" t="s">
        <v>73</v>
      </c>
      <c r="C31" s="9" t="s">
        <v>69</v>
      </c>
      <c r="D31" s="10">
        <v>10.6</v>
      </c>
      <c r="E31" s="11">
        <v>2785</v>
      </c>
      <c r="F31" s="11">
        <v>0</v>
      </c>
      <c r="G31" s="11">
        <v>29521</v>
      </c>
      <c r="H31" s="11">
        <v>0.35709999999999997</v>
      </c>
      <c r="I31" s="8" t="s">
        <v>16</v>
      </c>
      <c r="J31" s="26">
        <v>0</v>
      </c>
      <c r="K31" s="26">
        <v>0</v>
      </c>
      <c r="L31" s="26">
        <v>0</v>
      </c>
      <c r="M31" s="26">
        <v>0</v>
      </c>
      <c r="N31" s="25">
        <v>1</v>
      </c>
      <c r="O31" s="25">
        <v>1</v>
      </c>
      <c r="P31" s="11">
        <v>2785</v>
      </c>
      <c r="Q31" s="11">
        <v>0</v>
      </c>
      <c r="R31" s="11">
        <v>2785</v>
      </c>
      <c r="S31" s="11">
        <v>29521</v>
      </c>
      <c r="T31" s="7">
        <v>0</v>
      </c>
      <c r="U31" s="11">
        <v>2785</v>
      </c>
      <c r="V31" s="11">
        <v>0</v>
      </c>
      <c r="W31" s="11">
        <v>2785</v>
      </c>
      <c r="X31" s="11">
        <v>29521</v>
      </c>
      <c r="Y31" s="7">
        <v>0</v>
      </c>
      <c r="Z31" s="11">
        <v>2785</v>
      </c>
      <c r="AA31" s="11">
        <v>0</v>
      </c>
      <c r="AB31" s="11">
        <v>2785</v>
      </c>
      <c r="AC31" s="11">
        <v>29521</v>
      </c>
      <c r="AD31" s="7">
        <v>0</v>
      </c>
      <c r="AE31" s="11">
        <v>2785</v>
      </c>
      <c r="AF31" s="11">
        <v>0</v>
      </c>
      <c r="AG31" s="11">
        <v>2785</v>
      </c>
      <c r="AH31" s="11">
        <v>29521</v>
      </c>
      <c r="AI31" s="7">
        <v>0</v>
      </c>
      <c r="AJ31" s="11">
        <v>2785</v>
      </c>
      <c r="AK31" s="11">
        <v>0</v>
      </c>
      <c r="AL31" s="11">
        <v>2785</v>
      </c>
      <c r="AM31" s="11">
        <v>29521</v>
      </c>
      <c r="AN31" s="7">
        <v>0</v>
      </c>
      <c r="AO31" s="11">
        <v>2785</v>
      </c>
      <c r="AP31" s="11">
        <v>0</v>
      </c>
      <c r="AQ31" s="11">
        <v>2785</v>
      </c>
      <c r="AR31" s="11">
        <v>29521</v>
      </c>
      <c r="AS31" s="7">
        <v>0</v>
      </c>
    </row>
    <row r="32" spans="1:45" x14ac:dyDescent="0.3">
      <c r="A32" s="4" t="s">
        <v>74</v>
      </c>
      <c r="B32" s="4" t="s">
        <v>75</v>
      </c>
      <c r="C32" s="4" t="s">
        <v>69</v>
      </c>
      <c r="D32" s="5">
        <v>10.62</v>
      </c>
      <c r="E32" s="6">
        <v>1744</v>
      </c>
      <c r="F32" s="6">
        <v>0</v>
      </c>
      <c r="G32" s="6">
        <v>18521.28</v>
      </c>
      <c r="H32" s="6">
        <v>0.35709999999999997</v>
      </c>
      <c r="I32" s="8" t="s">
        <v>16</v>
      </c>
      <c r="J32" s="24">
        <v>0</v>
      </c>
      <c r="K32" s="24">
        <v>0</v>
      </c>
      <c r="L32" s="24">
        <v>0</v>
      </c>
      <c r="M32" s="24">
        <v>0</v>
      </c>
      <c r="N32" s="25">
        <v>1</v>
      </c>
      <c r="O32" s="25">
        <v>1</v>
      </c>
      <c r="P32" s="6">
        <v>1744</v>
      </c>
      <c r="Q32" s="6">
        <v>0</v>
      </c>
      <c r="R32" s="6">
        <v>1744</v>
      </c>
      <c r="S32" s="6">
        <v>18521.28</v>
      </c>
      <c r="T32" s="7">
        <v>0</v>
      </c>
      <c r="U32" s="6">
        <v>1744</v>
      </c>
      <c r="V32" s="6">
        <v>0</v>
      </c>
      <c r="W32" s="6">
        <v>1744</v>
      </c>
      <c r="X32" s="6">
        <v>18521.28</v>
      </c>
      <c r="Y32" s="7">
        <v>0</v>
      </c>
      <c r="Z32" s="6">
        <v>1744</v>
      </c>
      <c r="AA32" s="6">
        <v>0</v>
      </c>
      <c r="AB32" s="6">
        <v>1744</v>
      </c>
      <c r="AC32" s="6">
        <v>18521.28</v>
      </c>
      <c r="AD32" s="7">
        <v>0</v>
      </c>
      <c r="AE32" s="6">
        <v>1744</v>
      </c>
      <c r="AF32" s="6">
        <v>0</v>
      </c>
      <c r="AG32" s="6">
        <v>1744</v>
      </c>
      <c r="AH32" s="6">
        <v>18521.28</v>
      </c>
      <c r="AI32" s="7">
        <v>0</v>
      </c>
      <c r="AJ32" s="6">
        <v>1744</v>
      </c>
      <c r="AK32" s="6">
        <v>0</v>
      </c>
      <c r="AL32" s="6">
        <v>1744</v>
      </c>
      <c r="AM32" s="6">
        <v>18521.28</v>
      </c>
      <c r="AN32" s="7">
        <v>0</v>
      </c>
      <c r="AO32" s="6">
        <v>1744</v>
      </c>
      <c r="AP32" s="6">
        <v>0</v>
      </c>
      <c r="AQ32" s="6">
        <v>1744</v>
      </c>
      <c r="AR32" s="6">
        <v>18521.28</v>
      </c>
      <c r="AS32" s="7">
        <v>0</v>
      </c>
    </row>
    <row r="33" spans="1:45" x14ac:dyDescent="0.3">
      <c r="A33" s="9" t="s">
        <v>76</v>
      </c>
      <c r="B33" s="9" t="s">
        <v>77</v>
      </c>
      <c r="C33" s="9" t="s">
        <v>69</v>
      </c>
      <c r="D33" s="10">
        <v>10.45</v>
      </c>
      <c r="E33" s="11">
        <v>862</v>
      </c>
      <c r="F33" s="11">
        <v>0</v>
      </c>
      <c r="G33" s="11">
        <v>9007.9</v>
      </c>
      <c r="H33" s="11">
        <v>0.35709999999999997</v>
      </c>
      <c r="I33" s="8" t="s">
        <v>16</v>
      </c>
      <c r="J33" s="26">
        <v>0</v>
      </c>
      <c r="K33" s="26">
        <v>0</v>
      </c>
      <c r="L33" s="26">
        <v>0</v>
      </c>
      <c r="M33" s="26">
        <v>0</v>
      </c>
      <c r="N33" s="25">
        <v>1</v>
      </c>
      <c r="O33" s="25">
        <v>1</v>
      </c>
      <c r="P33" s="11">
        <v>862</v>
      </c>
      <c r="Q33" s="11">
        <v>0</v>
      </c>
      <c r="R33" s="11">
        <v>862</v>
      </c>
      <c r="S33" s="11">
        <v>9007.9</v>
      </c>
      <c r="T33" s="7">
        <v>0</v>
      </c>
      <c r="U33" s="11">
        <v>862</v>
      </c>
      <c r="V33" s="11">
        <v>0</v>
      </c>
      <c r="W33" s="11">
        <v>862</v>
      </c>
      <c r="X33" s="11">
        <v>9007.9</v>
      </c>
      <c r="Y33" s="7">
        <v>0</v>
      </c>
      <c r="Z33" s="11">
        <v>862</v>
      </c>
      <c r="AA33" s="11">
        <v>0</v>
      </c>
      <c r="AB33" s="11">
        <v>862</v>
      </c>
      <c r="AC33" s="11">
        <v>9007.9</v>
      </c>
      <c r="AD33" s="7">
        <v>0</v>
      </c>
      <c r="AE33" s="11">
        <v>862</v>
      </c>
      <c r="AF33" s="11">
        <v>0</v>
      </c>
      <c r="AG33" s="11">
        <v>862</v>
      </c>
      <c r="AH33" s="11">
        <v>9007.9</v>
      </c>
      <c r="AI33" s="7">
        <v>0</v>
      </c>
      <c r="AJ33" s="11">
        <v>862</v>
      </c>
      <c r="AK33" s="11">
        <v>0</v>
      </c>
      <c r="AL33" s="11">
        <v>862</v>
      </c>
      <c r="AM33" s="11">
        <v>9007.9</v>
      </c>
      <c r="AN33" s="7">
        <v>0</v>
      </c>
      <c r="AO33" s="11">
        <v>862</v>
      </c>
      <c r="AP33" s="11">
        <v>0</v>
      </c>
      <c r="AQ33" s="11">
        <v>862</v>
      </c>
      <c r="AR33" s="11">
        <v>9007.9</v>
      </c>
      <c r="AS33" s="7">
        <v>0</v>
      </c>
    </row>
    <row r="34" spans="1:45" x14ac:dyDescent="0.3">
      <c r="A34" s="4" t="s">
        <v>78</v>
      </c>
      <c r="B34" s="4" t="s">
        <v>79</v>
      </c>
      <c r="C34" s="4" t="s">
        <v>69</v>
      </c>
      <c r="D34" s="5">
        <v>10.63</v>
      </c>
      <c r="E34" s="6">
        <v>963.14700000000005</v>
      </c>
      <c r="F34" s="6">
        <v>0</v>
      </c>
      <c r="G34" s="6">
        <v>10238.2526</v>
      </c>
      <c r="H34" s="6">
        <v>0.35709999999999997</v>
      </c>
      <c r="I34" s="8" t="s">
        <v>16</v>
      </c>
      <c r="J34" s="24">
        <v>0</v>
      </c>
      <c r="K34" s="24">
        <v>0</v>
      </c>
      <c r="L34" s="24">
        <v>0</v>
      </c>
      <c r="M34" s="24">
        <v>0</v>
      </c>
      <c r="N34" s="25">
        <v>1</v>
      </c>
      <c r="O34" s="25">
        <v>1</v>
      </c>
      <c r="P34" s="6">
        <v>963.14700000000005</v>
      </c>
      <c r="Q34" s="6">
        <v>0</v>
      </c>
      <c r="R34" s="6">
        <v>963.14700000000005</v>
      </c>
      <c r="S34" s="6">
        <v>10238.2526</v>
      </c>
      <c r="T34" s="7">
        <v>0</v>
      </c>
      <c r="U34" s="6">
        <v>963.14700000000005</v>
      </c>
      <c r="V34" s="6">
        <v>0</v>
      </c>
      <c r="W34" s="6">
        <v>963.14700000000005</v>
      </c>
      <c r="X34" s="6">
        <v>10238.2526</v>
      </c>
      <c r="Y34" s="7">
        <v>0</v>
      </c>
      <c r="Z34" s="6">
        <v>963.14700000000005</v>
      </c>
      <c r="AA34" s="6">
        <v>0</v>
      </c>
      <c r="AB34" s="6">
        <v>963.14700000000005</v>
      </c>
      <c r="AC34" s="6">
        <v>10238.2526</v>
      </c>
      <c r="AD34" s="7">
        <v>0</v>
      </c>
      <c r="AE34" s="6">
        <v>963.14700000000005</v>
      </c>
      <c r="AF34" s="6">
        <v>0</v>
      </c>
      <c r="AG34" s="6">
        <v>963.14700000000005</v>
      </c>
      <c r="AH34" s="6">
        <v>10238.2526</v>
      </c>
      <c r="AI34" s="7">
        <v>0</v>
      </c>
      <c r="AJ34" s="6">
        <v>963.14700000000005</v>
      </c>
      <c r="AK34" s="6">
        <v>0</v>
      </c>
      <c r="AL34" s="6">
        <v>963.14700000000005</v>
      </c>
      <c r="AM34" s="6">
        <v>10238.2526</v>
      </c>
      <c r="AN34" s="7">
        <v>0</v>
      </c>
      <c r="AO34" s="6">
        <v>963.14700000000005</v>
      </c>
      <c r="AP34" s="6">
        <v>0</v>
      </c>
      <c r="AQ34" s="6">
        <v>963.14700000000005</v>
      </c>
      <c r="AR34" s="6">
        <v>10238.2526</v>
      </c>
      <c r="AS34" s="7">
        <v>0</v>
      </c>
    </row>
    <row r="35" spans="1:45" x14ac:dyDescent="0.3">
      <c r="A35" s="9" t="s">
        <v>80</v>
      </c>
      <c r="B35" s="9" t="s">
        <v>81</v>
      </c>
      <c r="C35" s="9" t="s">
        <v>69</v>
      </c>
      <c r="D35" s="10">
        <v>10.58</v>
      </c>
      <c r="E35" s="11">
        <v>842.14</v>
      </c>
      <c r="F35" s="11">
        <v>0</v>
      </c>
      <c r="G35" s="11">
        <v>8909.8412000000008</v>
      </c>
      <c r="H35" s="11">
        <v>0.35709999999999997</v>
      </c>
      <c r="I35" s="8" t="s">
        <v>16</v>
      </c>
      <c r="J35" s="26">
        <v>0</v>
      </c>
      <c r="K35" s="26">
        <v>0</v>
      </c>
      <c r="L35" s="26">
        <v>0</v>
      </c>
      <c r="M35" s="26">
        <v>0</v>
      </c>
      <c r="N35" s="25">
        <v>1</v>
      </c>
      <c r="O35" s="25">
        <v>1</v>
      </c>
      <c r="P35" s="11">
        <v>842.14</v>
      </c>
      <c r="Q35" s="11">
        <v>0</v>
      </c>
      <c r="R35" s="11">
        <v>842.14</v>
      </c>
      <c r="S35" s="11">
        <v>8909.8412000000008</v>
      </c>
      <c r="T35" s="7">
        <v>0</v>
      </c>
      <c r="U35" s="11">
        <v>842.14</v>
      </c>
      <c r="V35" s="11">
        <v>0</v>
      </c>
      <c r="W35" s="11">
        <v>842.14</v>
      </c>
      <c r="X35" s="11">
        <v>8909.8412000000008</v>
      </c>
      <c r="Y35" s="7">
        <v>0</v>
      </c>
      <c r="Z35" s="11">
        <v>842.14</v>
      </c>
      <c r="AA35" s="11">
        <v>0</v>
      </c>
      <c r="AB35" s="11">
        <v>842.14</v>
      </c>
      <c r="AC35" s="11">
        <v>8909.8412000000008</v>
      </c>
      <c r="AD35" s="7">
        <v>0</v>
      </c>
      <c r="AE35" s="11">
        <v>842.14</v>
      </c>
      <c r="AF35" s="11">
        <v>0</v>
      </c>
      <c r="AG35" s="11">
        <v>842.14</v>
      </c>
      <c r="AH35" s="11">
        <v>8909.8412000000008</v>
      </c>
      <c r="AI35" s="7">
        <v>0</v>
      </c>
      <c r="AJ35" s="11">
        <v>842.14</v>
      </c>
      <c r="AK35" s="11">
        <v>0</v>
      </c>
      <c r="AL35" s="11">
        <v>842.14</v>
      </c>
      <c r="AM35" s="11">
        <v>8909.8412000000008</v>
      </c>
      <c r="AN35" s="7">
        <v>0</v>
      </c>
      <c r="AO35" s="11">
        <v>842.14</v>
      </c>
      <c r="AP35" s="11">
        <v>0</v>
      </c>
      <c r="AQ35" s="11">
        <v>842.14</v>
      </c>
      <c r="AR35" s="11">
        <v>8909.8412000000008</v>
      </c>
      <c r="AS35" s="7">
        <v>0</v>
      </c>
    </row>
    <row r="36" spans="1:45" x14ac:dyDescent="0.3">
      <c r="A36" s="4" t="s">
        <v>82</v>
      </c>
      <c r="B36" s="4" t="s">
        <v>83</v>
      </c>
      <c r="C36" s="4" t="s">
        <v>69</v>
      </c>
      <c r="D36" s="5">
        <v>10.55</v>
      </c>
      <c r="E36" s="6">
        <v>412</v>
      </c>
      <c r="F36" s="6">
        <v>0</v>
      </c>
      <c r="G36" s="6">
        <v>4346.6000000000004</v>
      </c>
      <c r="H36" s="6">
        <v>0.35709999999999997</v>
      </c>
      <c r="I36" s="8" t="s">
        <v>16</v>
      </c>
      <c r="J36" s="24">
        <v>0</v>
      </c>
      <c r="K36" s="24">
        <v>0</v>
      </c>
      <c r="L36" s="24">
        <v>0</v>
      </c>
      <c r="M36" s="24">
        <v>0</v>
      </c>
      <c r="N36" s="25">
        <v>1</v>
      </c>
      <c r="O36" s="25">
        <v>1</v>
      </c>
      <c r="P36" s="6">
        <v>412</v>
      </c>
      <c r="Q36" s="6">
        <v>0</v>
      </c>
      <c r="R36" s="6">
        <v>412</v>
      </c>
      <c r="S36" s="6">
        <v>4346.6000000000004</v>
      </c>
      <c r="T36" s="7">
        <v>0</v>
      </c>
      <c r="U36" s="6">
        <v>412</v>
      </c>
      <c r="V36" s="6">
        <v>0</v>
      </c>
      <c r="W36" s="6">
        <v>412</v>
      </c>
      <c r="X36" s="6">
        <v>4346.6000000000004</v>
      </c>
      <c r="Y36" s="7">
        <v>0</v>
      </c>
      <c r="Z36" s="6">
        <v>412</v>
      </c>
      <c r="AA36" s="6">
        <v>0</v>
      </c>
      <c r="AB36" s="6">
        <v>412</v>
      </c>
      <c r="AC36" s="6">
        <v>4346.6000000000004</v>
      </c>
      <c r="AD36" s="7">
        <v>0</v>
      </c>
      <c r="AE36" s="6">
        <v>412</v>
      </c>
      <c r="AF36" s="6">
        <v>0</v>
      </c>
      <c r="AG36" s="6">
        <v>412</v>
      </c>
      <c r="AH36" s="6">
        <v>4346.6000000000004</v>
      </c>
      <c r="AI36" s="7">
        <v>0</v>
      </c>
      <c r="AJ36" s="6">
        <v>412</v>
      </c>
      <c r="AK36" s="6">
        <v>0</v>
      </c>
      <c r="AL36" s="6">
        <v>412</v>
      </c>
      <c r="AM36" s="6">
        <v>4346.6000000000004</v>
      </c>
      <c r="AN36" s="7">
        <v>0</v>
      </c>
      <c r="AO36" s="6">
        <v>412</v>
      </c>
      <c r="AP36" s="6">
        <v>0</v>
      </c>
      <c r="AQ36" s="6">
        <v>412</v>
      </c>
      <c r="AR36" s="6">
        <v>4346.6000000000004</v>
      </c>
      <c r="AS36" s="7">
        <v>0</v>
      </c>
    </row>
    <row r="37" spans="1:45" x14ac:dyDescent="0.3">
      <c r="A37" s="9" t="s">
        <v>84</v>
      </c>
      <c r="B37" s="9" t="s">
        <v>85</v>
      </c>
      <c r="C37" s="9" t="s">
        <v>69</v>
      </c>
      <c r="D37" s="10">
        <v>10.31</v>
      </c>
      <c r="E37" s="11">
        <v>231</v>
      </c>
      <c r="F37" s="11">
        <v>0</v>
      </c>
      <c r="G37" s="11">
        <v>2381.61</v>
      </c>
      <c r="H37" s="11">
        <v>0.35709999999999997</v>
      </c>
      <c r="I37" s="8" t="s">
        <v>16</v>
      </c>
      <c r="J37" s="26">
        <v>0</v>
      </c>
      <c r="K37" s="26">
        <v>0</v>
      </c>
      <c r="L37" s="26">
        <v>0</v>
      </c>
      <c r="M37" s="26">
        <v>0</v>
      </c>
      <c r="N37" s="25">
        <v>1</v>
      </c>
      <c r="O37" s="25">
        <v>1</v>
      </c>
      <c r="P37" s="11">
        <v>231</v>
      </c>
      <c r="Q37" s="11">
        <v>0</v>
      </c>
      <c r="R37" s="11">
        <v>231</v>
      </c>
      <c r="S37" s="11">
        <v>2381.61</v>
      </c>
      <c r="T37" s="7">
        <v>0</v>
      </c>
      <c r="U37" s="11">
        <v>231</v>
      </c>
      <c r="V37" s="11">
        <v>0</v>
      </c>
      <c r="W37" s="11">
        <v>231</v>
      </c>
      <c r="X37" s="11">
        <v>2381.61</v>
      </c>
      <c r="Y37" s="7">
        <v>0</v>
      </c>
      <c r="Z37" s="11">
        <v>231</v>
      </c>
      <c r="AA37" s="11">
        <v>0</v>
      </c>
      <c r="AB37" s="11">
        <v>231</v>
      </c>
      <c r="AC37" s="11">
        <v>2381.61</v>
      </c>
      <c r="AD37" s="7">
        <v>0</v>
      </c>
      <c r="AE37" s="11">
        <v>231</v>
      </c>
      <c r="AF37" s="11">
        <v>0</v>
      </c>
      <c r="AG37" s="11">
        <v>231</v>
      </c>
      <c r="AH37" s="11">
        <v>2381.61</v>
      </c>
      <c r="AI37" s="7">
        <v>0</v>
      </c>
      <c r="AJ37" s="11">
        <v>231</v>
      </c>
      <c r="AK37" s="11">
        <v>0</v>
      </c>
      <c r="AL37" s="11">
        <v>231</v>
      </c>
      <c r="AM37" s="11">
        <v>2381.61</v>
      </c>
      <c r="AN37" s="7">
        <v>0</v>
      </c>
      <c r="AO37" s="11">
        <v>231</v>
      </c>
      <c r="AP37" s="11">
        <v>0</v>
      </c>
      <c r="AQ37" s="11">
        <v>231</v>
      </c>
      <c r="AR37" s="11">
        <v>2381.61</v>
      </c>
      <c r="AS37" s="7">
        <v>0</v>
      </c>
    </row>
    <row r="38" spans="1:45" x14ac:dyDescent="0.3">
      <c r="A38" s="4" t="s">
        <v>86</v>
      </c>
      <c r="B38" s="4" t="s">
        <v>87</v>
      </c>
      <c r="C38" s="4" t="s">
        <v>69</v>
      </c>
      <c r="D38" s="5">
        <v>11.25</v>
      </c>
      <c r="E38" s="6">
        <v>1063</v>
      </c>
      <c r="F38" s="6">
        <v>0</v>
      </c>
      <c r="G38" s="6">
        <v>11958.75</v>
      </c>
      <c r="H38" s="6">
        <v>0.35709999999999997</v>
      </c>
      <c r="I38" s="8" t="s">
        <v>16</v>
      </c>
      <c r="J38" s="24">
        <v>0</v>
      </c>
      <c r="K38" s="24">
        <v>0</v>
      </c>
      <c r="L38" s="24">
        <v>0</v>
      </c>
      <c r="M38" s="24">
        <v>0</v>
      </c>
      <c r="N38" s="25">
        <v>1</v>
      </c>
      <c r="O38" s="25">
        <v>1</v>
      </c>
      <c r="P38" s="6">
        <v>1063</v>
      </c>
      <c r="Q38" s="6">
        <v>0</v>
      </c>
      <c r="R38" s="6">
        <v>1063</v>
      </c>
      <c r="S38" s="6">
        <v>11958.75</v>
      </c>
      <c r="T38" s="7">
        <v>0</v>
      </c>
      <c r="U38" s="6">
        <v>1063</v>
      </c>
      <c r="V38" s="6">
        <v>0</v>
      </c>
      <c r="W38" s="6">
        <v>1063</v>
      </c>
      <c r="X38" s="6">
        <v>11958.75</v>
      </c>
      <c r="Y38" s="7">
        <v>0</v>
      </c>
      <c r="Z38" s="6">
        <v>1063</v>
      </c>
      <c r="AA38" s="6">
        <v>0</v>
      </c>
      <c r="AB38" s="6">
        <v>1063</v>
      </c>
      <c r="AC38" s="6">
        <v>11958.75</v>
      </c>
      <c r="AD38" s="7">
        <v>0</v>
      </c>
      <c r="AE38" s="6">
        <v>1063</v>
      </c>
      <c r="AF38" s="6">
        <v>0</v>
      </c>
      <c r="AG38" s="6">
        <v>1063</v>
      </c>
      <c r="AH38" s="6">
        <v>11958.75</v>
      </c>
      <c r="AI38" s="7">
        <v>0</v>
      </c>
      <c r="AJ38" s="6">
        <v>1063</v>
      </c>
      <c r="AK38" s="6">
        <v>0</v>
      </c>
      <c r="AL38" s="6">
        <v>1063</v>
      </c>
      <c r="AM38" s="6">
        <v>11958.75</v>
      </c>
      <c r="AN38" s="7">
        <v>0</v>
      </c>
      <c r="AO38" s="6">
        <v>1063</v>
      </c>
      <c r="AP38" s="6">
        <v>0</v>
      </c>
      <c r="AQ38" s="6">
        <v>1063</v>
      </c>
      <c r="AR38" s="6">
        <v>11958.75</v>
      </c>
      <c r="AS38" s="7">
        <v>0</v>
      </c>
    </row>
    <row r="39" spans="1:45" x14ac:dyDescent="0.3">
      <c r="A39" s="9" t="s">
        <v>88</v>
      </c>
      <c r="B39" s="9" t="s">
        <v>89</v>
      </c>
      <c r="C39" s="9" t="s">
        <v>69</v>
      </c>
      <c r="D39" s="10">
        <v>10.64</v>
      </c>
      <c r="E39" s="11">
        <v>1256</v>
      </c>
      <c r="F39" s="11">
        <v>0</v>
      </c>
      <c r="G39" s="11">
        <v>13363.84</v>
      </c>
      <c r="H39" s="11">
        <v>0.35709999999999997</v>
      </c>
      <c r="I39" s="8" t="s">
        <v>16</v>
      </c>
      <c r="J39" s="26">
        <v>0</v>
      </c>
      <c r="K39" s="26">
        <v>0</v>
      </c>
      <c r="L39" s="26">
        <v>0</v>
      </c>
      <c r="M39" s="26">
        <v>0</v>
      </c>
      <c r="N39" s="25">
        <v>1</v>
      </c>
      <c r="O39" s="25">
        <v>1</v>
      </c>
      <c r="P39" s="11">
        <v>1256</v>
      </c>
      <c r="Q39" s="11">
        <v>0</v>
      </c>
      <c r="R39" s="11">
        <v>1256</v>
      </c>
      <c r="S39" s="11">
        <v>13363.84</v>
      </c>
      <c r="T39" s="7">
        <v>0</v>
      </c>
      <c r="U39" s="11">
        <v>1256</v>
      </c>
      <c r="V39" s="11">
        <v>0</v>
      </c>
      <c r="W39" s="11">
        <v>1256</v>
      </c>
      <c r="X39" s="11">
        <v>13363.84</v>
      </c>
      <c r="Y39" s="7">
        <v>0</v>
      </c>
      <c r="Z39" s="11">
        <v>1256</v>
      </c>
      <c r="AA39" s="11">
        <v>0</v>
      </c>
      <c r="AB39" s="11">
        <v>1256</v>
      </c>
      <c r="AC39" s="11">
        <v>13363.84</v>
      </c>
      <c r="AD39" s="7">
        <v>0</v>
      </c>
      <c r="AE39" s="11">
        <v>1256</v>
      </c>
      <c r="AF39" s="11">
        <v>0</v>
      </c>
      <c r="AG39" s="11">
        <v>1256</v>
      </c>
      <c r="AH39" s="11">
        <v>13363.84</v>
      </c>
      <c r="AI39" s="7">
        <v>0</v>
      </c>
      <c r="AJ39" s="11">
        <v>1256</v>
      </c>
      <c r="AK39" s="11">
        <v>0</v>
      </c>
      <c r="AL39" s="11">
        <v>1256</v>
      </c>
      <c r="AM39" s="11">
        <v>13363.84</v>
      </c>
      <c r="AN39" s="7">
        <v>0</v>
      </c>
      <c r="AO39" s="11">
        <v>1256</v>
      </c>
      <c r="AP39" s="11">
        <v>0</v>
      </c>
      <c r="AQ39" s="11">
        <v>1256</v>
      </c>
      <c r="AR39" s="11">
        <v>13363.84</v>
      </c>
      <c r="AS39" s="7">
        <v>0</v>
      </c>
    </row>
    <row r="40" spans="1:45" x14ac:dyDescent="0.3">
      <c r="A40" s="4" t="s">
        <v>90</v>
      </c>
      <c r="B40" s="4" t="s">
        <v>91</v>
      </c>
      <c r="C40" s="4" t="s">
        <v>69</v>
      </c>
      <c r="D40" s="5">
        <v>10.55</v>
      </c>
      <c r="E40" s="6">
        <v>1645.14</v>
      </c>
      <c r="F40" s="6">
        <v>0</v>
      </c>
      <c r="G40" s="6">
        <v>17356.226999999999</v>
      </c>
      <c r="H40" s="6">
        <v>0.35709999999999997</v>
      </c>
      <c r="I40" s="8" t="s">
        <v>16</v>
      </c>
      <c r="J40" s="24">
        <v>0</v>
      </c>
      <c r="K40" s="24">
        <v>0</v>
      </c>
      <c r="L40" s="24">
        <v>0</v>
      </c>
      <c r="M40" s="24">
        <v>0</v>
      </c>
      <c r="N40" s="25">
        <v>1</v>
      </c>
      <c r="O40" s="25">
        <v>1</v>
      </c>
      <c r="P40" s="6">
        <v>1645.14</v>
      </c>
      <c r="Q40" s="6">
        <v>0</v>
      </c>
      <c r="R40" s="6">
        <v>1645.14</v>
      </c>
      <c r="S40" s="6">
        <v>17356.226999999999</v>
      </c>
      <c r="T40" s="7">
        <v>0</v>
      </c>
      <c r="U40" s="6">
        <v>1645.14</v>
      </c>
      <c r="V40" s="6">
        <v>0</v>
      </c>
      <c r="W40" s="6">
        <v>1645.14</v>
      </c>
      <c r="X40" s="6">
        <v>17356.226999999999</v>
      </c>
      <c r="Y40" s="7">
        <v>0</v>
      </c>
      <c r="Z40" s="6">
        <v>1645.14</v>
      </c>
      <c r="AA40" s="6">
        <v>0</v>
      </c>
      <c r="AB40" s="6">
        <v>1645.14</v>
      </c>
      <c r="AC40" s="6">
        <v>17356.226999999999</v>
      </c>
      <c r="AD40" s="7">
        <v>0</v>
      </c>
      <c r="AE40" s="6">
        <v>1645.14</v>
      </c>
      <c r="AF40" s="6">
        <v>0</v>
      </c>
      <c r="AG40" s="6">
        <v>1645.14</v>
      </c>
      <c r="AH40" s="6">
        <v>17356.226999999999</v>
      </c>
      <c r="AI40" s="7">
        <v>0</v>
      </c>
      <c r="AJ40" s="6">
        <v>1645.14</v>
      </c>
      <c r="AK40" s="6">
        <v>0</v>
      </c>
      <c r="AL40" s="6">
        <v>1645.14</v>
      </c>
      <c r="AM40" s="6">
        <v>17356.226999999999</v>
      </c>
      <c r="AN40" s="7">
        <v>0</v>
      </c>
      <c r="AO40" s="6">
        <v>1645.14</v>
      </c>
      <c r="AP40" s="6">
        <v>0</v>
      </c>
      <c r="AQ40" s="6">
        <v>1645.14</v>
      </c>
      <c r="AR40" s="6">
        <v>17356.226999999999</v>
      </c>
      <c r="AS40" s="7">
        <v>0</v>
      </c>
    </row>
    <row r="41" spans="1:45" x14ac:dyDescent="0.3">
      <c r="A41" s="9" t="s">
        <v>92</v>
      </c>
      <c r="B41" s="9" t="s">
        <v>93</v>
      </c>
      <c r="C41" s="9" t="s">
        <v>69</v>
      </c>
      <c r="D41" s="10">
        <v>13.5</v>
      </c>
      <c r="E41" s="11">
        <v>48</v>
      </c>
      <c r="F41" s="11">
        <v>0</v>
      </c>
      <c r="G41" s="11">
        <v>648</v>
      </c>
      <c r="H41" s="11">
        <v>0.35709999999999997</v>
      </c>
      <c r="I41" s="12" t="s">
        <v>53</v>
      </c>
      <c r="J41" s="26">
        <v>0</v>
      </c>
      <c r="K41" s="26">
        <v>0</v>
      </c>
      <c r="L41" s="27">
        <v>1</v>
      </c>
      <c r="M41" s="26">
        <v>0</v>
      </c>
      <c r="N41" s="26">
        <v>0</v>
      </c>
      <c r="O41" s="27">
        <v>1</v>
      </c>
      <c r="P41" s="11">
        <v>48</v>
      </c>
      <c r="Q41" s="11">
        <v>0</v>
      </c>
      <c r="R41" s="11">
        <v>48</v>
      </c>
      <c r="S41" s="11">
        <v>648</v>
      </c>
      <c r="T41" s="7">
        <v>0</v>
      </c>
      <c r="U41" s="11">
        <v>48</v>
      </c>
      <c r="V41" s="11">
        <v>0</v>
      </c>
      <c r="W41" s="11">
        <v>48</v>
      </c>
      <c r="X41" s="11">
        <v>648</v>
      </c>
      <c r="Y41" s="7">
        <v>0</v>
      </c>
      <c r="Z41" s="11">
        <v>48</v>
      </c>
      <c r="AA41" s="11">
        <v>0</v>
      </c>
      <c r="AB41" s="11">
        <v>48</v>
      </c>
      <c r="AC41" s="11">
        <v>648</v>
      </c>
      <c r="AD41" s="7">
        <v>0</v>
      </c>
      <c r="AE41" s="11">
        <v>48</v>
      </c>
      <c r="AF41" s="11">
        <v>0</v>
      </c>
      <c r="AG41" s="11">
        <v>48</v>
      </c>
      <c r="AH41" s="11">
        <v>648</v>
      </c>
      <c r="AI41" s="7">
        <v>0</v>
      </c>
      <c r="AJ41" s="11">
        <v>48</v>
      </c>
      <c r="AK41" s="11">
        <v>0</v>
      </c>
      <c r="AL41" s="11">
        <v>48</v>
      </c>
      <c r="AM41" s="11">
        <v>648</v>
      </c>
      <c r="AN41" s="7">
        <v>0</v>
      </c>
      <c r="AO41" s="11">
        <v>48</v>
      </c>
      <c r="AP41" s="11">
        <v>0</v>
      </c>
      <c r="AQ41" s="11">
        <v>48</v>
      </c>
      <c r="AR41" s="11">
        <v>648</v>
      </c>
      <c r="AS41" s="7">
        <v>0</v>
      </c>
    </row>
    <row r="42" spans="1:45" x14ac:dyDescent="0.3">
      <c r="A42" s="4" t="s">
        <v>94</v>
      </c>
      <c r="B42" s="4" t="s">
        <v>95</v>
      </c>
      <c r="C42" s="4" t="s">
        <v>69</v>
      </c>
      <c r="D42" s="5">
        <v>12</v>
      </c>
      <c r="E42" s="6">
        <v>0.28000000000000003</v>
      </c>
      <c r="F42" s="6">
        <v>0</v>
      </c>
      <c r="G42" s="6">
        <v>3.36</v>
      </c>
      <c r="H42" s="6">
        <v>0.35709999999999997</v>
      </c>
      <c r="I42" s="12" t="s">
        <v>53</v>
      </c>
      <c r="J42" s="24">
        <v>0</v>
      </c>
      <c r="K42" s="24">
        <v>0</v>
      </c>
      <c r="L42" s="27">
        <v>1</v>
      </c>
      <c r="M42" s="27">
        <v>1</v>
      </c>
      <c r="N42" s="24">
        <v>0</v>
      </c>
      <c r="O42" s="24">
        <v>2</v>
      </c>
      <c r="P42" s="6">
        <v>0.28000000000000003</v>
      </c>
      <c r="Q42" s="6">
        <v>0</v>
      </c>
      <c r="R42" s="6">
        <v>0.28000000000000003</v>
      </c>
      <c r="S42" s="6">
        <v>3.36</v>
      </c>
      <c r="T42" s="7">
        <v>0</v>
      </c>
      <c r="U42" s="6">
        <v>0.28000000000000003</v>
      </c>
      <c r="V42" s="6">
        <v>0</v>
      </c>
      <c r="W42" s="6">
        <v>0.28000000000000003</v>
      </c>
      <c r="X42" s="6">
        <v>3.36</v>
      </c>
      <c r="Y42" s="7">
        <v>0</v>
      </c>
      <c r="Z42" s="6">
        <v>0.28000000000000003</v>
      </c>
      <c r="AA42" s="6">
        <v>0</v>
      </c>
      <c r="AB42" s="6">
        <v>0.28000000000000003</v>
      </c>
      <c r="AC42" s="6">
        <v>3.36</v>
      </c>
      <c r="AD42" s="7">
        <v>0</v>
      </c>
      <c r="AE42" s="6">
        <v>0.28000000000000003</v>
      </c>
      <c r="AF42" s="6">
        <v>0</v>
      </c>
      <c r="AG42" s="6">
        <v>0.28000000000000003</v>
      </c>
      <c r="AH42" s="6">
        <v>3.36</v>
      </c>
      <c r="AI42" s="7">
        <v>0</v>
      </c>
      <c r="AJ42" s="6">
        <v>0.28000000000000003</v>
      </c>
      <c r="AK42" s="6">
        <v>0</v>
      </c>
      <c r="AL42" s="6">
        <v>0.28000000000000003</v>
      </c>
      <c r="AM42" s="6">
        <v>3.36</v>
      </c>
      <c r="AN42" s="7">
        <v>0</v>
      </c>
      <c r="AO42" s="6">
        <v>0.28000000000000003</v>
      </c>
      <c r="AP42" s="6">
        <v>0</v>
      </c>
      <c r="AQ42" s="6">
        <v>0.28000000000000003</v>
      </c>
      <c r="AR42" s="6">
        <v>3.36</v>
      </c>
      <c r="AS42" s="7">
        <v>0</v>
      </c>
    </row>
    <row r="43" spans="1:45" x14ac:dyDescent="0.3">
      <c r="A43" s="9" t="s">
        <v>96</v>
      </c>
      <c r="B43" s="9" t="s">
        <v>97</v>
      </c>
      <c r="C43" s="9" t="s">
        <v>69</v>
      </c>
      <c r="D43" s="10">
        <v>10.2745</v>
      </c>
      <c r="E43" s="11">
        <v>70.41</v>
      </c>
      <c r="F43" s="11">
        <v>0</v>
      </c>
      <c r="G43" s="11">
        <v>723.42750000000001</v>
      </c>
      <c r="H43" s="11">
        <v>0.35709999999999997</v>
      </c>
      <c r="I43" s="8" t="s">
        <v>16</v>
      </c>
      <c r="J43" s="26">
        <v>0</v>
      </c>
      <c r="K43" s="26">
        <v>0</v>
      </c>
      <c r="L43" s="26">
        <v>0</v>
      </c>
      <c r="M43" s="26">
        <v>0</v>
      </c>
      <c r="N43" s="25">
        <v>1</v>
      </c>
      <c r="O43" s="25">
        <v>1</v>
      </c>
      <c r="P43" s="11">
        <v>70.41</v>
      </c>
      <c r="Q43" s="11">
        <v>0</v>
      </c>
      <c r="R43" s="11">
        <v>70.41</v>
      </c>
      <c r="S43" s="11">
        <v>723.42750000000001</v>
      </c>
      <c r="T43" s="7">
        <v>0</v>
      </c>
      <c r="U43" s="11">
        <v>70.41</v>
      </c>
      <c r="V43" s="11">
        <v>0</v>
      </c>
      <c r="W43" s="11">
        <v>70.41</v>
      </c>
      <c r="X43" s="11">
        <v>723.42750000000001</v>
      </c>
      <c r="Y43" s="7">
        <v>0</v>
      </c>
      <c r="Z43" s="11">
        <v>70.41</v>
      </c>
      <c r="AA43" s="11">
        <v>0</v>
      </c>
      <c r="AB43" s="11">
        <v>70.41</v>
      </c>
      <c r="AC43" s="11">
        <v>723.42750000000001</v>
      </c>
      <c r="AD43" s="7">
        <v>0</v>
      </c>
      <c r="AE43" s="11">
        <v>70.41</v>
      </c>
      <c r="AF43" s="11">
        <v>0</v>
      </c>
      <c r="AG43" s="11">
        <v>70.41</v>
      </c>
      <c r="AH43" s="11">
        <v>723.42750000000001</v>
      </c>
      <c r="AI43" s="7">
        <v>0</v>
      </c>
      <c r="AJ43" s="11">
        <v>70.41</v>
      </c>
      <c r="AK43" s="11">
        <v>0</v>
      </c>
      <c r="AL43" s="11">
        <v>70.41</v>
      </c>
      <c r="AM43" s="11">
        <v>723.42750000000001</v>
      </c>
      <c r="AN43" s="7">
        <v>0</v>
      </c>
      <c r="AO43" s="11">
        <v>70.41</v>
      </c>
      <c r="AP43" s="11">
        <v>0</v>
      </c>
      <c r="AQ43" s="11">
        <v>70.41</v>
      </c>
      <c r="AR43" s="11">
        <v>723.42750000000001</v>
      </c>
      <c r="AS43" s="7">
        <v>0</v>
      </c>
    </row>
    <row r="44" spans="1:45" x14ac:dyDescent="0.3">
      <c r="A44" s="4" t="s">
        <v>98</v>
      </c>
      <c r="B44" s="4" t="s">
        <v>99</v>
      </c>
      <c r="C44" s="4" t="s">
        <v>100</v>
      </c>
      <c r="D44" s="5">
        <v>10.31</v>
      </c>
      <c r="E44" s="6">
        <v>597.70000000000005</v>
      </c>
      <c r="F44" s="6">
        <v>0</v>
      </c>
      <c r="G44" s="6">
        <v>6162.2870000000003</v>
      </c>
      <c r="H44" s="6">
        <v>3.5</v>
      </c>
      <c r="I44" s="12" t="s">
        <v>53</v>
      </c>
      <c r="J44" s="24">
        <v>0</v>
      </c>
      <c r="K44" s="24">
        <v>0</v>
      </c>
      <c r="L44" s="27">
        <v>1</v>
      </c>
      <c r="M44" s="24">
        <v>0</v>
      </c>
      <c r="N44" s="24">
        <v>0</v>
      </c>
      <c r="O44" s="27">
        <v>1</v>
      </c>
      <c r="P44" s="6">
        <v>597.70000000000005</v>
      </c>
      <c r="Q44" s="6">
        <v>0</v>
      </c>
      <c r="R44" s="6">
        <v>597.70000000000005</v>
      </c>
      <c r="S44" s="6">
        <v>6162.2870000000003</v>
      </c>
      <c r="T44" s="7">
        <v>0</v>
      </c>
      <c r="U44" s="6">
        <v>597.70000000000005</v>
      </c>
      <c r="V44" s="6">
        <v>0</v>
      </c>
      <c r="W44" s="6">
        <v>597.70000000000005</v>
      </c>
      <c r="X44" s="6">
        <v>6162.2870000000003</v>
      </c>
      <c r="Y44" s="7">
        <v>0</v>
      </c>
      <c r="Z44" s="6">
        <v>597.70000000000005</v>
      </c>
      <c r="AA44" s="6">
        <v>0</v>
      </c>
      <c r="AB44" s="6">
        <v>597.70000000000005</v>
      </c>
      <c r="AC44" s="6">
        <v>6162.2870000000003</v>
      </c>
      <c r="AD44" s="7">
        <v>0</v>
      </c>
      <c r="AE44" s="6">
        <v>597.70000000000005</v>
      </c>
      <c r="AF44" s="6">
        <v>0</v>
      </c>
      <c r="AG44" s="6">
        <v>597.70000000000005</v>
      </c>
      <c r="AH44" s="6">
        <v>6162.2870000000003</v>
      </c>
      <c r="AI44" s="7">
        <v>0</v>
      </c>
      <c r="AJ44" s="6">
        <v>597.70000000000005</v>
      </c>
      <c r="AK44" s="6">
        <v>0</v>
      </c>
      <c r="AL44" s="6">
        <v>597.70000000000005</v>
      </c>
      <c r="AM44" s="6">
        <v>6162.2870000000003</v>
      </c>
      <c r="AN44" s="7">
        <v>0</v>
      </c>
      <c r="AO44" s="6">
        <v>597.70000000000005</v>
      </c>
      <c r="AP44" s="6">
        <v>0</v>
      </c>
      <c r="AQ44" s="6">
        <v>597.70000000000005</v>
      </c>
      <c r="AR44" s="6">
        <v>6162.2870000000003</v>
      </c>
      <c r="AS44" s="7">
        <v>0</v>
      </c>
    </row>
    <row r="45" spans="1:45" x14ac:dyDescent="0.3">
      <c r="A45" s="9" t="s">
        <v>101</v>
      </c>
      <c r="B45" s="9" t="s">
        <v>102</v>
      </c>
      <c r="C45" s="9" t="s">
        <v>69</v>
      </c>
      <c r="D45" s="10">
        <v>10.307700000000001</v>
      </c>
      <c r="E45" s="11">
        <v>273</v>
      </c>
      <c r="F45" s="11">
        <v>0</v>
      </c>
      <c r="G45" s="11">
        <v>2814.0021000000002</v>
      </c>
      <c r="H45" s="11">
        <v>0.35709999999999997</v>
      </c>
      <c r="I45" s="12" t="s">
        <v>53</v>
      </c>
      <c r="J45" s="26">
        <v>0</v>
      </c>
      <c r="K45" s="26">
        <v>0</v>
      </c>
      <c r="L45" s="27">
        <v>1</v>
      </c>
      <c r="M45" s="26">
        <v>0</v>
      </c>
      <c r="N45" s="26">
        <v>0</v>
      </c>
      <c r="O45" s="27">
        <v>1</v>
      </c>
      <c r="P45" s="11">
        <v>273</v>
      </c>
      <c r="Q45" s="11">
        <v>0</v>
      </c>
      <c r="R45" s="11">
        <v>273</v>
      </c>
      <c r="S45" s="11">
        <v>2814.0021000000002</v>
      </c>
      <c r="T45" s="7">
        <v>0</v>
      </c>
      <c r="U45" s="11">
        <v>273</v>
      </c>
      <c r="V45" s="11">
        <v>0</v>
      </c>
      <c r="W45" s="11">
        <v>273</v>
      </c>
      <c r="X45" s="11">
        <v>2814.0021000000002</v>
      </c>
      <c r="Y45" s="7">
        <v>0</v>
      </c>
      <c r="Z45" s="11">
        <v>273</v>
      </c>
      <c r="AA45" s="11">
        <v>0</v>
      </c>
      <c r="AB45" s="11">
        <v>273</v>
      </c>
      <c r="AC45" s="11">
        <v>2814.0021000000002</v>
      </c>
      <c r="AD45" s="7">
        <v>0</v>
      </c>
      <c r="AE45" s="11">
        <v>273</v>
      </c>
      <c r="AF45" s="11">
        <v>0</v>
      </c>
      <c r="AG45" s="11">
        <v>273</v>
      </c>
      <c r="AH45" s="11">
        <v>2814.0021000000002</v>
      </c>
      <c r="AI45" s="7">
        <v>0</v>
      </c>
      <c r="AJ45" s="11">
        <v>273</v>
      </c>
      <c r="AK45" s="11">
        <v>0</v>
      </c>
      <c r="AL45" s="11">
        <v>273</v>
      </c>
      <c r="AM45" s="11">
        <v>2814.0021000000002</v>
      </c>
      <c r="AN45" s="7">
        <v>0</v>
      </c>
      <c r="AO45" s="11">
        <v>273</v>
      </c>
      <c r="AP45" s="11">
        <v>0</v>
      </c>
      <c r="AQ45" s="11">
        <v>273</v>
      </c>
      <c r="AR45" s="11">
        <v>2814.0021000000002</v>
      </c>
      <c r="AS45" s="7">
        <v>0</v>
      </c>
    </row>
    <row r="46" spans="1:45" x14ac:dyDescent="0.3">
      <c r="A46" s="4" t="s">
        <v>103</v>
      </c>
      <c r="B46" s="4" t="s">
        <v>104</v>
      </c>
      <c r="C46" s="4" t="s">
        <v>100</v>
      </c>
      <c r="D46" s="5">
        <v>10.332000000000001</v>
      </c>
      <c r="E46" s="6">
        <v>127</v>
      </c>
      <c r="F46" s="6">
        <v>0</v>
      </c>
      <c r="G46" s="6">
        <v>1312.164</v>
      </c>
      <c r="H46" s="6">
        <v>3.5</v>
      </c>
      <c r="I46" s="12" t="s">
        <v>53</v>
      </c>
      <c r="J46" s="24">
        <v>0</v>
      </c>
      <c r="K46" s="24">
        <v>0</v>
      </c>
      <c r="L46" s="27">
        <v>1</v>
      </c>
      <c r="M46" s="24">
        <v>0</v>
      </c>
      <c r="N46" s="24">
        <v>0</v>
      </c>
      <c r="O46" s="27">
        <v>1</v>
      </c>
      <c r="P46" s="6">
        <v>127</v>
      </c>
      <c r="Q46" s="6">
        <v>0</v>
      </c>
      <c r="R46" s="6">
        <v>127</v>
      </c>
      <c r="S46" s="6">
        <v>1312.164</v>
      </c>
      <c r="T46" s="7">
        <v>0</v>
      </c>
      <c r="U46" s="6">
        <v>127</v>
      </c>
      <c r="V46" s="6">
        <v>0</v>
      </c>
      <c r="W46" s="6">
        <v>127</v>
      </c>
      <c r="X46" s="6">
        <v>1312.164</v>
      </c>
      <c r="Y46" s="7">
        <v>0</v>
      </c>
      <c r="Z46" s="6">
        <v>127</v>
      </c>
      <c r="AA46" s="6">
        <v>0</v>
      </c>
      <c r="AB46" s="6">
        <v>127</v>
      </c>
      <c r="AC46" s="6">
        <v>1312.164</v>
      </c>
      <c r="AD46" s="7">
        <v>0</v>
      </c>
      <c r="AE46" s="6">
        <v>127</v>
      </c>
      <c r="AF46" s="6">
        <v>0</v>
      </c>
      <c r="AG46" s="6">
        <v>127</v>
      </c>
      <c r="AH46" s="6">
        <v>1312.164</v>
      </c>
      <c r="AI46" s="7">
        <v>0</v>
      </c>
      <c r="AJ46" s="6">
        <v>127</v>
      </c>
      <c r="AK46" s="6">
        <v>0</v>
      </c>
      <c r="AL46" s="6">
        <v>127</v>
      </c>
      <c r="AM46" s="6">
        <v>1312.164</v>
      </c>
      <c r="AN46" s="7">
        <v>0</v>
      </c>
      <c r="AO46" s="6">
        <v>127</v>
      </c>
      <c r="AP46" s="6">
        <v>0</v>
      </c>
      <c r="AQ46" s="6">
        <v>127</v>
      </c>
      <c r="AR46" s="6">
        <v>1312.164</v>
      </c>
      <c r="AS46" s="7">
        <v>0</v>
      </c>
    </row>
    <row r="47" spans="1:45" x14ac:dyDescent="0.3">
      <c r="A47" s="9" t="s">
        <v>105</v>
      </c>
      <c r="B47" s="9" t="s">
        <v>106</v>
      </c>
      <c r="C47" s="9" t="s">
        <v>107</v>
      </c>
      <c r="D47" s="10">
        <v>15.55</v>
      </c>
      <c r="E47" s="11">
        <v>294</v>
      </c>
      <c r="F47" s="11">
        <v>0</v>
      </c>
      <c r="G47" s="11">
        <v>4571.7</v>
      </c>
      <c r="H47" s="11">
        <v>3.9285999999999999</v>
      </c>
      <c r="I47" s="8" t="s">
        <v>16</v>
      </c>
      <c r="J47" s="26">
        <v>0</v>
      </c>
      <c r="K47" s="26">
        <v>0</v>
      </c>
      <c r="L47" s="26">
        <v>0</v>
      </c>
      <c r="M47" s="26">
        <v>0</v>
      </c>
      <c r="N47" s="25">
        <v>1</v>
      </c>
      <c r="O47" s="25">
        <v>1</v>
      </c>
      <c r="P47" s="11">
        <v>294</v>
      </c>
      <c r="Q47" s="11">
        <v>0</v>
      </c>
      <c r="R47" s="11">
        <v>294</v>
      </c>
      <c r="S47" s="11">
        <v>4571.7</v>
      </c>
      <c r="T47" s="7">
        <v>0</v>
      </c>
      <c r="U47" s="11">
        <v>294</v>
      </c>
      <c r="V47" s="11">
        <v>0</v>
      </c>
      <c r="W47" s="11">
        <v>294</v>
      </c>
      <c r="X47" s="11">
        <v>4571.7</v>
      </c>
      <c r="Y47" s="7">
        <v>0</v>
      </c>
      <c r="Z47" s="11">
        <v>294</v>
      </c>
      <c r="AA47" s="11">
        <v>0</v>
      </c>
      <c r="AB47" s="11">
        <v>294</v>
      </c>
      <c r="AC47" s="11">
        <v>4571.7</v>
      </c>
      <c r="AD47" s="7">
        <v>0</v>
      </c>
      <c r="AE47" s="11">
        <v>294</v>
      </c>
      <c r="AF47" s="11">
        <v>0</v>
      </c>
      <c r="AG47" s="11">
        <v>294</v>
      </c>
      <c r="AH47" s="11">
        <v>4571.7</v>
      </c>
      <c r="AI47" s="7">
        <v>0</v>
      </c>
      <c r="AJ47" s="11">
        <v>294</v>
      </c>
      <c r="AK47" s="11">
        <v>0</v>
      </c>
      <c r="AL47" s="11">
        <v>294</v>
      </c>
      <c r="AM47" s="11">
        <v>4571.7</v>
      </c>
      <c r="AN47" s="7">
        <v>0</v>
      </c>
      <c r="AO47" s="11">
        <v>294</v>
      </c>
      <c r="AP47" s="11">
        <v>0</v>
      </c>
      <c r="AQ47" s="11">
        <v>294</v>
      </c>
      <c r="AR47" s="11">
        <v>4571.7</v>
      </c>
      <c r="AS47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"/>
  <sheetViews>
    <sheetView workbookViewId="0">
      <pane xSplit="4" ySplit="3" topLeftCell="AI4" activePane="bottomRight" state="frozen"/>
      <selection pane="topRight"/>
      <selection pane="bottomLeft"/>
      <selection pane="bottomRight" activeCell="AP8" sqref="AP8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4" t="s">
        <v>129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</row>
    <row r="2" spans="1:45" ht="18" customHeight="1" x14ac:dyDescent="0.3">
      <c r="A2" s="39" t="s">
        <v>1</v>
      </c>
      <c r="B2" s="39" t="s">
        <v>2</v>
      </c>
      <c r="C2" s="39" t="s">
        <v>3</v>
      </c>
      <c r="D2" s="39" t="s">
        <v>111</v>
      </c>
      <c r="E2" s="61" t="s">
        <v>130</v>
      </c>
      <c r="F2" s="62"/>
      <c r="G2" s="62"/>
      <c r="H2" s="62"/>
      <c r="I2" s="59" t="s">
        <v>113</v>
      </c>
      <c r="J2" s="60"/>
      <c r="K2" s="60"/>
      <c r="L2" s="60"/>
      <c r="M2" s="60"/>
      <c r="N2" s="60"/>
      <c r="O2" s="60"/>
      <c r="P2" s="72">
        <v>46048</v>
      </c>
      <c r="Q2" s="73"/>
      <c r="R2" s="73"/>
      <c r="S2" s="73"/>
      <c r="T2" s="74"/>
      <c r="U2" s="66">
        <v>46049</v>
      </c>
      <c r="V2" s="67"/>
      <c r="W2" s="67"/>
      <c r="X2" s="67"/>
      <c r="Y2" s="68"/>
      <c r="Z2" s="69">
        <v>46050</v>
      </c>
      <c r="AA2" s="70"/>
      <c r="AB2" s="70"/>
      <c r="AC2" s="70"/>
      <c r="AD2" s="71"/>
      <c r="AE2" s="66">
        <v>46051</v>
      </c>
      <c r="AF2" s="67"/>
      <c r="AG2" s="67"/>
      <c r="AH2" s="67"/>
      <c r="AI2" s="68"/>
      <c r="AJ2" s="75">
        <v>46052</v>
      </c>
      <c r="AK2" s="76"/>
      <c r="AL2" s="76"/>
      <c r="AM2" s="76"/>
      <c r="AN2" s="77"/>
      <c r="AO2" s="69">
        <v>46053</v>
      </c>
      <c r="AP2" s="70"/>
      <c r="AQ2" s="70"/>
      <c r="AR2" s="70"/>
      <c r="AS2" s="71"/>
    </row>
    <row r="3" spans="1:45" ht="28.05" customHeight="1" x14ac:dyDescent="0.3">
      <c r="A3" s="40"/>
      <c r="B3" s="40"/>
      <c r="C3" s="40"/>
      <c r="D3" s="40"/>
      <c r="E3" s="15" t="s">
        <v>8</v>
      </c>
      <c r="F3" s="15" t="s">
        <v>114</v>
      </c>
      <c r="G3" s="15" t="s">
        <v>10</v>
      </c>
      <c r="H3" s="15" t="s">
        <v>115</v>
      </c>
      <c r="I3" s="16" t="s">
        <v>116</v>
      </c>
      <c r="J3" s="17" t="s">
        <v>117</v>
      </c>
      <c r="K3" s="17" t="s">
        <v>118</v>
      </c>
      <c r="L3" s="17" t="s">
        <v>119</v>
      </c>
      <c r="M3" s="17" t="s">
        <v>120</v>
      </c>
      <c r="N3" s="17" t="s">
        <v>121</v>
      </c>
      <c r="O3" s="17" t="s">
        <v>122</v>
      </c>
      <c r="P3" s="18" t="s">
        <v>123</v>
      </c>
      <c r="Q3" s="18" t="s">
        <v>9</v>
      </c>
      <c r="R3" s="18" t="s">
        <v>124</v>
      </c>
      <c r="S3" s="18" t="s">
        <v>125</v>
      </c>
      <c r="T3" s="18" t="s">
        <v>126</v>
      </c>
      <c r="U3" s="19" t="s">
        <v>123</v>
      </c>
      <c r="V3" s="19" t="s">
        <v>9</v>
      </c>
      <c r="W3" s="19" t="s">
        <v>124</v>
      </c>
      <c r="X3" s="19" t="s">
        <v>125</v>
      </c>
      <c r="Y3" s="19" t="s">
        <v>126</v>
      </c>
      <c r="Z3" s="20" t="s">
        <v>123</v>
      </c>
      <c r="AA3" s="20" t="s">
        <v>9</v>
      </c>
      <c r="AB3" s="20" t="s">
        <v>124</v>
      </c>
      <c r="AC3" s="20" t="s">
        <v>125</v>
      </c>
      <c r="AD3" s="20" t="s">
        <v>126</v>
      </c>
      <c r="AE3" s="21" t="s">
        <v>123</v>
      </c>
      <c r="AF3" s="21" t="s">
        <v>9</v>
      </c>
      <c r="AG3" s="21" t="s">
        <v>124</v>
      </c>
      <c r="AH3" s="21" t="s">
        <v>125</v>
      </c>
      <c r="AI3" s="21" t="s">
        <v>126</v>
      </c>
      <c r="AJ3" s="22" t="s">
        <v>123</v>
      </c>
      <c r="AK3" s="22" t="s">
        <v>9</v>
      </c>
      <c r="AL3" s="22" t="s">
        <v>124</v>
      </c>
      <c r="AM3" s="22" t="s">
        <v>125</v>
      </c>
      <c r="AN3" s="22" t="s">
        <v>126</v>
      </c>
      <c r="AO3" s="23" t="s">
        <v>123</v>
      </c>
      <c r="AP3" s="23" t="s">
        <v>9</v>
      </c>
      <c r="AQ3" s="23" t="s">
        <v>124</v>
      </c>
      <c r="AR3" s="23" t="s">
        <v>125</v>
      </c>
      <c r="AS3" s="23" t="s">
        <v>126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2.5999999999999999E-3</v>
      </c>
      <c r="E4" s="6">
        <v>4554000</v>
      </c>
      <c r="F4" s="6">
        <v>2898000</v>
      </c>
      <c r="G4" s="6">
        <v>11840.4</v>
      </c>
      <c r="H4" s="6">
        <v>22.142900000000001</v>
      </c>
      <c r="I4" s="8" t="s">
        <v>16</v>
      </c>
      <c r="J4" s="24">
        <v>0</v>
      </c>
      <c r="K4" s="24">
        <v>0</v>
      </c>
      <c r="L4" s="24">
        <v>0</v>
      </c>
      <c r="M4" s="24">
        <v>0</v>
      </c>
      <c r="N4" s="25">
        <v>1</v>
      </c>
      <c r="O4" s="25">
        <v>1</v>
      </c>
      <c r="P4" s="6">
        <v>4554000</v>
      </c>
      <c r="Q4" s="6">
        <v>477851.43239999999</v>
      </c>
      <c r="R4" s="6">
        <v>4076148.5676000002</v>
      </c>
      <c r="S4" s="6">
        <v>10597.9863</v>
      </c>
      <c r="T4" s="7">
        <v>-1.07</v>
      </c>
      <c r="U4" s="6">
        <v>4076148.5676000002</v>
      </c>
      <c r="V4" s="6">
        <v>484029.71350000001</v>
      </c>
      <c r="W4" s="6">
        <v>3592118.8541000001</v>
      </c>
      <c r="X4" s="6">
        <v>9339.509</v>
      </c>
      <c r="Y4" s="7">
        <v>0.21</v>
      </c>
      <c r="Z4" s="6">
        <v>3592118.8541000001</v>
      </c>
      <c r="AA4" s="6">
        <v>487118.8541</v>
      </c>
      <c r="AB4" s="6">
        <v>3105000</v>
      </c>
      <c r="AC4" s="6">
        <v>8073</v>
      </c>
      <c r="AD4" s="7">
        <v>0.85</v>
      </c>
      <c r="AE4" s="6">
        <v>3105000</v>
      </c>
      <c r="AF4" s="6">
        <v>487118.8541</v>
      </c>
      <c r="AG4" s="6">
        <v>2617881.1458999999</v>
      </c>
      <c r="AH4" s="6">
        <v>6806.491</v>
      </c>
      <c r="AI4" s="7">
        <v>0.85</v>
      </c>
      <c r="AJ4" s="6">
        <v>2617881.1458999999</v>
      </c>
      <c r="AK4" s="6">
        <v>484029.71350000001</v>
      </c>
      <c r="AL4" s="6">
        <v>2133851.4323999998</v>
      </c>
      <c r="AM4" s="6">
        <v>5548.0137000000004</v>
      </c>
      <c r="AN4" s="7">
        <v>0.21</v>
      </c>
      <c r="AO4" s="6">
        <v>2133851.4323999998</v>
      </c>
      <c r="AP4" s="6">
        <v>477851.43239999999</v>
      </c>
      <c r="AQ4" s="6">
        <v>1656000</v>
      </c>
      <c r="AR4" s="6">
        <v>4305.6000000000004</v>
      </c>
      <c r="AS4" s="7">
        <v>-1.07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3.5000000000000001E-3</v>
      </c>
      <c r="E5" s="11">
        <v>1068000</v>
      </c>
      <c r="F5" s="11">
        <v>860000</v>
      </c>
      <c r="G5" s="11">
        <v>3738</v>
      </c>
      <c r="H5" s="11">
        <v>22.142900000000001</v>
      </c>
      <c r="I5" s="8" t="s">
        <v>16</v>
      </c>
      <c r="J5" s="26">
        <v>0</v>
      </c>
      <c r="K5" s="26">
        <v>0</v>
      </c>
      <c r="L5" s="26">
        <v>0</v>
      </c>
      <c r="M5" s="26">
        <v>0</v>
      </c>
      <c r="N5" s="25">
        <v>1</v>
      </c>
      <c r="O5" s="25">
        <v>1</v>
      </c>
      <c r="P5" s="11">
        <v>1068000</v>
      </c>
      <c r="Q5" s="11">
        <v>141805.46299999999</v>
      </c>
      <c r="R5" s="11">
        <v>926194.53700000001</v>
      </c>
      <c r="S5" s="11">
        <v>3241.6808999999998</v>
      </c>
      <c r="T5" s="7">
        <v>-1.07</v>
      </c>
      <c r="U5" s="11">
        <v>926194.53700000001</v>
      </c>
      <c r="V5" s="11">
        <v>143638.9074</v>
      </c>
      <c r="W5" s="11">
        <v>782555.62959999999</v>
      </c>
      <c r="X5" s="11">
        <v>2738.9447</v>
      </c>
      <c r="Y5" s="7">
        <v>0.21</v>
      </c>
      <c r="Z5" s="11">
        <v>782555.62959999999</v>
      </c>
      <c r="AA5" s="11">
        <v>144555.62959999999</v>
      </c>
      <c r="AB5" s="11">
        <v>638000</v>
      </c>
      <c r="AC5" s="11">
        <v>2233</v>
      </c>
      <c r="AD5" s="7">
        <v>0.85</v>
      </c>
      <c r="AE5" s="11">
        <v>638000</v>
      </c>
      <c r="AF5" s="11">
        <v>144555.62959999999</v>
      </c>
      <c r="AG5" s="11">
        <v>493444.37040000001</v>
      </c>
      <c r="AH5" s="11">
        <v>1727.0553</v>
      </c>
      <c r="AI5" s="7">
        <v>0.85</v>
      </c>
      <c r="AJ5" s="11">
        <v>493444.37040000001</v>
      </c>
      <c r="AK5" s="11">
        <v>143638.9074</v>
      </c>
      <c r="AL5" s="11">
        <v>349805.46299999999</v>
      </c>
      <c r="AM5" s="11">
        <v>1224.3190999999999</v>
      </c>
      <c r="AN5" s="7">
        <v>0.21</v>
      </c>
      <c r="AO5" s="11">
        <v>349805.46299999999</v>
      </c>
      <c r="AP5" s="11">
        <v>141805.46299999999</v>
      </c>
      <c r="AQ5" s="11">
        <v>208000</v>
      </c>
      <c r="AR5" s="11">
        <v>728</v>
      </c>
      <c r="AS5" s="7">
        <v>-1.07</v>
      </c>
    </row>
    <row r="6" spans="1:45" x14ac:dyDescent="0.3">
      <c r="A6" s="4" t="s">
        <v>19</v>
      </c>
      <c r="B6" s="4" t="s">
        <v>20</v>
      </c>
      <c r="C6" s="4" t="s">
        <v>15</v>
      </c>
      <c r="D6" s="5">
        <v>1.5900000000000001E-2</v>
      </c>
      <c r="E6" s="6">
        <v>2982000</v>
      </c>
      <c r="F6" s="6">
        <v>1692000</v>
      </c>
      <c r="G6" s="6">
        <v>47413.8</v>
      </c>
      <c r="H6" s="6">
        <v>22.142900000000001</v>
      </c>
      <c r="I6" s="8" t="s">
        <v>16</v>
      </c>
      <c r="J6" s="24">
        <v>0</v>
      </c>
      <c r="K6" s="24">
        <v>0</v>
      </c>
      <c r="L6" s="24">
        <v>0</v>
      </c>
      <c r="M6" s="24">
        <v>0</v>
      </c>
      <c r="N6" s="25">
        <v>1</v>
      </c>
      <c r="O6" s="25">
        <v>1</v>
      </c>
      <c r="P6" s="6">
        <v>2982000</v>
      </c>
      <c r="Q6" s="6">
        <v>278994.00400000002</v>
      </c>
      <c r="R6" s="6">
        <v>2703005.9959999998</v>
      </c>
      <c r="S6" s="6">
        <v>42977.795299999998</v>
      </c>
      <c r="T6" s="7">
        <v>-1.07</v>
      </c>
      <c r="U6" s="6">
        <v>2703005.9959999998</v>
      </c>
      <c r="V6" s="6">
        <v>282601.19919999997</v>
      </c>
      <c r="W6" s="6">
        <v>2420404.7968000001</v>
      </c>
      <c r="X6" s="6">
        <v>38484.436300000001</v>
      </c>
      <c r="Y6" s="7">
        <v>0.21</v>
      </c>
      <c r="Z6" s="6">
        <v>2420404.7968000001</v>
      </c>
      <c r="AA6" s="6">
        <v>284404.79680000001</v>
      </c>
      <c r="AB6" s="6">
        <v>2136000</v>
      </c>
      <c r="AC6" s="6">
        <v>33962.400000000001</v>
      </c>
      <c r="AD6" s="7">
        <v>0.85</v>
      </c>
      <c r="AE6" s="6">
        <v>2136000</v>
      </c>
      <c r="AF6" s="6">
        <v>284404.79680000001</v>
      </c>
      <c r="AG6" s="6">
        <v>1851595.2032000001</v>
      </c>
      <c r="AH6" s="6">
        <v>29440.363700000002</v>
      </c>
      <c r="AI6" s="7">
        <v>0.85</v>
      </c>
      <c r="AJ6" s="6">
        <v>1851595.2032000001</v>
      </c>
      <c r="AK6" s="6">
        <v>282601.19919999997</v>
      </c>
      <c r="AL6" s="6">
        <v>1568994.004</v>
      </c>
      <c r="AM6" s="6">
        <v>24947.004700000001</v>
      </c>
      <c r="AN6" s="7">
        <v>0.21</v>
      </c>
      <c r="AO6" s="6">
        <v>1568994.004</v>
      </c>
      <c r="AP6" s="6">
        <v>278994.00400000002</v>
      </c>
      <c r="AQ6" s="6">
        <v>1290000</v>
      </c>
      <c r="AR6" s="6">
        <v>20511</v>
      </c>
      <c r="AS6" s="7">
        <v>-1.07</v>
      </c>
    </row>
    <row r="7" spans="1:45" x14ac:dyDescent="0.3">
      <c r="A7" s="9" t="s">
        <v>21</v>
      </c>
      <c r="B7" s="9" t="s">
        <v>22</v>
      </c>
      <c r="C7" s="9" t="s">
        <v>15</v>
      </c>
      <c r="D7" s="10">
        <v>8.6E-3</v>
      </c>
      <c r="E7" s="11">
        <v>458600</v>
      </c>
      <c r="F7" s="11">
        <v>78600</v>
      </c>
      <c r="G7" s="11">
        <v>3943.96</v>
      </c>
      <c r="H7" s="11">
        <v>22.142900000000001</v>
      </c>
      <c r="I7" s="8" t="s">
        <v>16</v>
      </c>
      <c r="J7" s="26">
        <v>0</v>
      </c>
      <c r="K7" s="26">
        <v>0</v>
      </c>
      <c r="L7" s="26">
        <v>0</v>
      </c>
      <c r="M7" s="26">
        <v>0</v>
      </c>
      <c r="N7" s="25">
        <v>1</v>
      </c>
      <c r="O7" s="25">
        <v>1</v>
      </c>
      <c r="P7" s="11">
        <v>458600</v>
      </c>
      <c r="Q7" s="11">
        <v>12960.3598</v>
      </c>
      <c r="R7" s="11">
        <v>445639.64020000002</v>
      </c>
      <c r="S7" s="11">
        <v>3832.5009</v>
      </c>
      <c r="T7" s="7">
        <v>-1.07</v>
      </c>
      <c r="U7" s="11">
        <v>445639.64020000002</v>
      </c>
      <c r="V7" s="11">
        <v>13127.928</v>
      </c>
      <c r="W7" s="11">
        <v>432511.71220000001</v>
      </c>
      <c r="X7" s="11">
        <v>3719.6007</v>
      </c>
      <c r="Y7" s="7">
        <v>0.21</v>
      </c>
      <c r="Z7" s="11">
        <v>432511.71220000001</v>
      </c>
      <c r="AA7" s="11">
        <v>13211.7122</v>
      </c>
      <c r="AB7" s="11">
        <v>419300</v>
      </c>
      <c r="AC7" s="11">
        <v>3605.98</v>
      </c>
      <c r="AD7" s="7">
        <v>0.85</v>
      </c>
      <c r="AE7" s="11">
        <v>419300</v>
      </c>
      <c r="AF7" s="11">
        <v>13211.7122</v>
      </c>
      <c r="AG7" s="11">
        <v>406088.28779999999</v>
      </c>
      <c r="AH7" s="11">
        <v>3492.3593000000001</v>
      </c>
      <c r="AI7" s="7">
        <v>0.85</v>
      </c>
      <c r="AJ7" s="11">
        <v>406088.28779999999</v>
      </c>
      <c r="AK7" s="11">
        <v>13127.928</v>
      </c>
      <c r="AL7" s="11">
        <v>392960.35979999998</v>
      </c>
      <c r="AM7" s="11">
        <v>3379.4591</v>
      </c>
      <c r="AN7" s="7">
        <v>0.21</v>
      </c>
      <c r="AO7" s="11">
        <v>392960.35979999998</v>
      </c>
      <c r="AP7" s="11">
        <v>12960.3598</v>
      </c>
      <c r="AQ7" s="11">
        <v>380000</v>
      </c>
      <c r="AR7" s="11">
        <v>3268</v>
      </c>
      <c r="AS7" s="7">
        <v>-1.07</v>
      </c>
    </row>
    <row r="8" spans="1:45" x14ac:dyDescent="0.3">
      <c r="A8" s="4" t="s">
        <v>23</v>
      </c>
      <c r="B8" s="4" t="s">
        <v>24</v>
      </c>
      <c r="C8" s="4" t="s">
        <v>15</v>
      </c>
      <c r="D8" s="5">
        <v>7.1999999999999998E-3</v>
      </c>
      <c r="E8" s="6">
        <v>332000</v>
      </c>
      <c r="F8" s="6">
        <v>156000</v>
      </c>
      <c r="G8" s="6">
        <v>2390.4</v>
      </c>
      <c r="H8" s="6">
        <v>22.142900000000001</v>
      </c>
      <c r="I8" s="8" t="s">
        <v>16</v>
      </c>
      <c r="J8" s="24">
        <v>0</v>
      </c>
      <c r="K8" s="24">
        <v>0</v>
      </c>
      <c r="L8" s="24">
        <v>0</v>
      </c>
      <c r="M8" s="24">
        <v>0</v>
      </c>
      <c r="N8" s="25">
        <v>1</v>
      </c>
      <c r="O8" s="25">
        <v>1</v>
      </c>
      <c r="P8" s="6">
        <v>332000</v>
      </c>
      <c r="Q8" s="6">
        <v>25722.8514</v>
      </c>
      <c r="R8" s="6">
        <v>306277.14860000001</v>
      </c>
      <c r="S8" s="6">
        <v>2205.1954999999998</v>
      </c>
      <c r="T8" s="7">
        <v>-1.07</v>
      </c>
      <c r="U8" s="6">
        <v>306277.14860000001</v>
      </c>
      <c r="V8" s="6">
        <v>26055.429700000001</v>
      </c>
      <c r="W8" s="6">
        <v>280221.71889999998</v>
      </c>
      <c r="X8" s="6">
        <v>2017.5963999999999</v>
      </c>
      <c r="Y8" s="7">
        <v>0.21</v>
      </c>
      <c r="Z8" s="6">
        <v>280221.71889999998</v>
      </c>
      <c r="AA8" s="6">
        <v>26221.7189</v>
      </c>
      <c r="AB8" s="6">
        <v>254000</v>
      </c>
      <c r="AC8" s="6">
        <v>1828.8</v>
      </c>
      <c r="AD8" s="7">
        <v>0.85</v>
      </c>
      <c r="AE8" s="6">
        <v>254000</v>
      </c>
      <c r="AF8" s="6">
        <v>26221.7189</v>
      </c>
      <c r="AG8" s="6">
        <v>227778.28109999999</v>
      </c>
      <c r="AH8" s="6">
        <v>1640.0036</v>
      </c>
      <c r="AI8" s="7">
        <v>0.85</v>
      </c>
      <c r="AJ8" s="6">
        <v>227778.28109999999</v>
      </c>
      <c r="AK8" s="6">
        <v>26055.429700000001</v>
      </c>
      <c r="AL8" s="6">
        <v>201722.85140000001</v>
      </c>
      <c r="AM8" s="6">
        <v>1452.4045000000001</v>
      </c>
      <c r="AN8" s="7">
        <v>0.21</v>
      </c>
      <c r="AO8" s="6">
        <v>201722.85140000001</v>
      </c>
      <c r="AP8" s="6">
        <v>25722.8514</v>
      </c>
      <c r="AQ8" s="6">
        <v>176000</v>
      </c>
      <c r="AR8" s="6">
        <v>1267.2</v>
      </c>
      <c r="AS8" s="7">
        <v>-1.07</v>
      </c>
    </row>
    <row r="9" spans="1:45" x14ac:dyDescent="0.3">
      <c r="A9" s="9" t="s">
        <v>25</v>
      </c>
      <c r="B9" s="9" t="s">
        <v>26</v>
      </c>
      <c r="C9" s="9" t="s">
        <v>15</v>
      </c>
      <c r="D9" s="10">
        <v>7.7000000000000002E-3</v>
      </c>
      <c r="E9" s="11">
        <v>1478000</v>
      </c>
      <c r="F9" s="11">
        <v>968000</v>
      </c>
      <c r="G9" s="11">
        <v>11380.6</v>
      </c>
      <c r="H9" s="11">
        <v>22.142900000000001</v>
      </c>
      <c r="I9" s="8" t="s">
        <v>16</v>
      </c>
      <c r="J9" s="26">
        <v>0</v>
      </c>
      <c r="K9" s="26">
        <v>0</v>
      </c>
      <c r="L9" s="26">
        <v>0</v>
      </c>
      <c r="M9" s="26">
        <v>0</v>
      </c>
      <c r="N9" s="25">
        <v>1</v>
      </c>
      <c r="O9" s="25">
        <v>1</v>
      </c>
      <c r="P9" s="11">
        <v>1478000</v>
      </c>
      <c r="Q9" s="11">
        <v>159613.59090000001</v>
      </c>
      <c r="R9" s="11">
        <v>1318386.4091</v>
      </c>
      <c r="S9" s="11">
        <v>10151.5754</v>
      </c>
      <c r="T9" s="7">
        <v>-1.07</v>
      </c>
      <c r="U9" s="11">
        <v>1318386.4091</v>
      </c>
      <c r="V9" s="11">
        <v>161677.2819</v>
      </c>
      <c r="W9" s="11">
        <v>1156709.1272</v>
      </c>
      <c r="X9" s="11">
        <v>8906.6602999999996</v>
      </c>
      <c r="Y9" s="7">
        <v>0.21</v>
      </c>
      <c r="Z9" s="11">
        <v>1156709.1272</v>
      </c>
      <c r="AA9" s="11">
        <v>162709.12719999999</v>
      </c>
      <c r="AB9" s="11">
        <v>994000</v>
      </c>
      <c r="AC9" s="11">
        <v>7653.8</v>
      </c>
      <c r="AD9" s="7">
        <v>0.85</v>
      </c>
      <c r="AE9" s="11">
        <v>994000</v>
      </c>
      <c r="AF9" s="11">
        <v>162709.12719999999</v>
      </c>
      <c r="AG9" s="11">
        <v>831290.87280000001</v>
      </c>
      <c r="AH9" s="11">
        <v>6400.9396999999999</v>
      </c>
      <c r="AI9" s="7">
        <v>0.85</v>
      </c>
      <c r="AJ9" s="11">
        <v>831290.87280000001</v>
      </c>
      <c r="AK9" s="11">
        <v>161677.2819</v>
      </c>
      <c r="AL9" s="11">
        <v>669613.59089999995</v>
      </c>
      <c r="AM9" s="11">
        <v>5156.0245999999997</v>
      </c>
      <c r="AN9" s="7">
        <v>0.21</v>
      </c>
      <c r="AO9" s="11">
        <v>669613.59089999995</v>
      </c>
      <c r="AP9" s="11">
        <v>159613.59090000001</v>
      </c>
      <c r="AQ9" s="11">
        <v>510000</v>
      </c>
      <c r="AR9" s="11">
        <v>3927</v>
      </c>
      <c r="AS9" s="7">
        <v>-1.07</v>
      </c>
    </row>
    <row r="10" spans="1:45" x14ac:dyDescent="0.3">
      <c r="A10" s="4" t="s">
        <v>27</v>
      </c>
      <c r="B10" s="4" t="s">
        <v>28</v>
      </c>
      <c r="C10" s="4" t="s">
        <v>15</v>
      </c>
      <c r="D10" s="5">
        <v>8.2000000000000007E-3</v>
      </c>
      <c r="E10" s="6">
        <v>790000</v>
      </c>
      <c r="F10" s="6">
        <v>190000</v>
      </c>
      <c r="G10" s="6">
        <v>6478</v>
      </c>
      <c r="H10" s="6">
        <v>22.142900000000001</v>
      </c>
      <c r="I10" s="8" t="s">
        <v>16</v>
      </c>
      <c r="J10" s="24">
        <v>0</v>
      </c>
      <c r="K10" s="24">
        <v>0</v>
      </c>
      <c r="L10" s="24">
        <v>0</v>
      </c>
      <c r="M10" s="24">
        <v>0</v>
      </c>
      <c r="N10" s="25">
        <v>1</v>
      </c>
      <c r="O10" s="25">
        <v>1</v>
      </c>
      <c r="P10" s="6">
        <v>790000</v>
      </c>
      <c r="Q10" s="6">
        <v>31329.1139</v>
      </c>
      <c r="R10" s="6">
        <v>758670.8861</v>
      </c>
      <c r="S10" s="6">
        <v>6221.1013000000003</v>
      </c>
      <c r="T10" s="7">
        <v>-1.07</v>
      </c>
      <c r="U10" s="6">
        <v>758670.8861</v>
      </c>
      <c r="V10" s="6">
        <v>31734.177199999998</v>
      </c>
      <c r="W10" s="6">
        <v>726936.70889999997</v>
      </c>
      <c r="X10" s="6">
        <v>5960.8810000000003</v>
      </c>
      <c r="Y10" s="7">
        <v>0.21</v>
      </c>
      <c r="Z10" s="6">
        <v>726936.70889999997</v>
      </c>
      <c r="AA10" s="6">
        <v>31936.708900000001</v>
      </c>
      <c r="AB10" s="6">
        <v>695000</v>
      </c>
      <c r="AC10" s="6">
        <v>5699</v>
      </c>
      <c r="AD10" s="7">
        <v>0.85</v>
      </c>
      <c r="AE10" s="6">
        <v>695000</v>
      </c>
      <c r="AF10" s="6">
        <v>31936.708900000001</v>
      </c>
      <c r="AG10" s="6">
        <v>663063.29110000003</v>
      </c>
      <c r="AH10" s="6">
        <v>5437.1189999999997</v>
      </c>
      <c r="AI10" s="7">
        <v>0.85</v>
      </c>
      <c r="AJ10" s="6">
        <v>663063.29110000003</v>
      </c>
      <c r="AK10" s="6">
        <v>31734.177199999998</v>
      </c>
      <c r="AL10" s="6">
        <v>631329.1139</v>
      </c>
      <c r="AM10" s="6">
        <v>5176.8986999999997</v>
      </c>
      <c r="AN10" s="7">
        <v>0.21</v>
      </c>
      <c r="AO10" s="6">
        <v>631329.1139</v>
      </c>
      <c r="AP10" s="6">
        <v>31329.1139</v>
      </c>
      <c r="AQ10" s="6">
        <v>600000</v>
      </c>
      <c r="AR10" s="6">
        <v>4920</v>
      </c>
      <c r="AS10" s="7">
        <v>-1.07</v>
      </c>
    </row>
    <row r="11" spans="1:45" x14ac:dyDescent="0.3">
      <c r="A11" s="9" t="s">
        <v>29</v>
      </c>
      <c r="B11" s="9" t="s">
        <v>30</v>
      </c>
      <c r="C11" s="9" t="s">
        <v>15</v>
      </c>
      <c r="D11" s="10">
        <v>5.7999999999999996E-3</v>
      </c>
      <c r="E11" s="11">
        <v>1180000</v>
      </c>
      <c r="F11" s="11">
        <v>1100000</v>
      </c>
      <c r="G11" s="11">
        <v>6844</v>
      </c>
      <c r="H11" s="11">
        <v>22.142900000000001</v>
      </c>
      <c r="I11" s="8" t="s">
        <v>16</v>
      </c>
      <c r="J11" s="26">
        <v>0</v>
      </c>
      <c r="K11" s="26">
        <v>0</v>
      </c>
      <c r="L11" s="26">
        <v>0</v>
      </c>
      <c r="M11" s="26">
        <v>0</v>
      </c>
      <c r="N11" s="25">
        <v>1</v>
      </c>
      <c r="O11" s="25">
        <v>1</v>
      </c>
      <c r="P11" s="11">
        <v>1180000</v>
      </c>
      <c r="Q11" s="11">
        <v>181379.08059999999</v>
      </c>
      <c r="R11" s="11">
        <v>998620.91940000001</v>
      </c>
      <c r="S11" s="11">
        <v>5792.0012999999999</v>
      </c>
      <c r="T11" s="7">
        <v>-1.07</v>
      </c>
      <c r="U11" s="11">
        <v>998620.91940000001</v>
      </c>
      <c r="V11" s="11">
        <v>183724.1839</v>
      </c>
      <c r="W11" s="11">
        <v>814896.73549999995</v>
      </c>
      <c r="X11" s="11">
        <v>4726.4011</v>
      </c>
      <c r="Y11" s="7">
        <v>0.21</v>
      </c>
      <c r="Z11" s="11">
        <v>814896.73549999995</v>
      </c>
      <c r="AA11" s="11">
        <v>184896.73550000001</v>
      </c>
      <c r="AB11" s="11">
        <v>630000</v>
      </c>
      <c r="AC11" s="11">
        <v>3654</v>
      </c>
      <c r="AD11" s="7">
        <v>0.85</v>
      </c>
      <c r="AE11" s="11">
        <v>630000</v>
      </c>
      <c r="AF11" s="11">
        <v>184896.73550000001</v>
      </c>
      <c r="AG11" s="11">
        <v>445103.26449999999</v>
      </c>
      <c r="AH11" s="11">
        <v>2581.5989</v>
      </c>
      <c r="AI11" s="7">
        <v>0.85</v>
      </c>
      <c r="AJ11" s="11">
        <v>445103.26449999999</v>
      </c>
      <c r="AK11" s="11">
        <v>183724.1839</v>
      </c>
      <c r="AL11" s="11">
        <v>261379.08059999999</v>
      </c>
      <c r="AM11" s="11">
        <v>1515.9987000000001</v>
      </c>
      <c r="AN11" s="7">
        <v>0.21</v>
      </c>
      <c r="AO11" s="11">
        <v>261379.08059999999</v>
      </c>
      <c r="AP11" s="11">
        <v>181379.08059999999</v>
      </c>
      <c r="AQ11" s="11">
        <v>80000</v>
      </c>
      <c r="AR11" s="11">
        <v>464</v>
      </c>
      <c r="AS11" s="7">
        <v>-1.07</v>
      </c>
    </row>
    <row r="12" spans="1:45" x14ac:dyDescent="0.3">
      <c r="A12" s="4" t="s">
        <v>31</v>
      </c>
      <c r="B12" s="4" t="s">
        <v>32</v>
      </c>
      <c r="C12" s="4" t="s">
        <v>15</v>
      </c>
      <c r="D12" s="5">
        <v>7.7000000000000002E-3</v>
      </c>
      <c r="E12" s="6">
        <v>683200</v>
      </c>
      <c r="F12" s="6">
        <v>283200</v>
      </c>
      <c r="G12" s="6">
        <v>5260.64</v>
      </c>
      <c r="H12" s="6">
        <v>22.142900000000001</v>
      </c>
      <c r="I12" s="8" t="s">
        <v>16</v>
      </c>
      <c r="J12" s="24">
        <v>0</v>
      </c>
      <c r="K12" s="24">
        <v>0</v>
      </c>
      <c r="L12" s="24">
        <v>0</v>
      </c>
      <c r="M12" s="24">
        <v>0</v>
      </c>
      <c r="N12" s="25">
        <v>1</v>
      </c>
      <c r="O12" s="25">
        <v>1</v>
      </c>
      <c r="P12" s="6">
        <v>683200</v>
      </c>
      <c r="Q12" s="6">
        <v>46696.868799999997</v>
      </c>
      <c r="R12" s="6">
        <v>636503.13119999995</v>
      </c>
      <c r="S12" s="6">
        <v>4901.0740999999998</v>
      </c>
      <c r="T12" s="7">
        <v>-1.07</v>
      </c>
      <c r="U12" s="6">
        <v>636503.13119999995</v>
      </c>
      <c r="V12" s="6">
        <v>47300.626199999999</v>
      </c>
      <c r="W12" s="6">
        <v>589202.505</v>
      </c>
      <c r="X12" s="6">
        <v>4536.8593000000001</v>
      </c>
      <c r="Y12" s="7">
        <v>0.21</v>
      </c>
      <c r="Z12" s="6">
        <v>589202.505</v>
      </c>
      <c r="AA12" s="6">
        <v>47602.504999999997</v>
      </c>
      <c r="AB12" s="6">
        <v>541600</v>
      </c>
      <c r="AC12" s="6">
        <v>4170.32</v>
      </c>
      <c r="AD12" s="7">
        <v>0.85</v>
      </c>
      <c r="AE12" s="6">
        <v>541600</v>
      </c>
      <c r="AF12" s="6">
        <v>47602.504999999997</v>
      </c>
      <c r="AG12" s="6">
        <v>493997.495</v>
      </c>
      <c r="AH12" s="6">
        <v>3803.7806999999998</v>
      </c>
      <c r="AI12" s="7">
        <v>0.85</v>
      </c>
      <c r="AJ12" s="6">
        <v>493997.495</v>
      </c>
      <c r="AK12" s="6">
        <v>47300.626199999999</v>
      </c>
      <c r="AL12" s="6">
        <v>446696.8688</v>
      </c>
      <c r="AM12" s="6">
        <v>3439.5659000000001</v>
      </c>
      <c r="AN12" s="7">
        <v>0.21</v>
      </c>
      <c r="AO12" s="6">
        <v>446696.8688</v>
      </c>
      <c r="AP12" s="6">
        <v>46696.868799999997</v>
      </c>
      <c r="AQ12" s="6">
        <v>400000</v>
      </c>
      <c r="AR12" s="6">
        <v>3080</v>
      </c>
      <c r="AS12" s="7">
        <v>-1.07</v>
      </c>
    </row>
    <row r="13" spans="1:45" x14ac:dyDescent="0.3">
      <c r="A13" s="9" t="s">
        <v>33</v>
      </c>
      <c r="B13" s="9" t="s">
        <v>34</v>
      </c>
      <c r="C13" s="9" t="s">
        <v>15</v>
      </c>
      <c r="D13" s="10">
        <v>5.4999999999999997E-3</v>
      </c>
      <c r="E13" s="11">
        <v>2045000</v>
      </c>
      <c r="F13" s="11">
        <v>1325000</v>
      </c>
      <c r="G13" s="11">
        <v>11247.5</v>
      </c>
      <c r="H13" s="11">
        <v>22.142900000000001</v>
      </c>
      <c r="I13" s="8" t="s">
        <v>16</v>
      </c>
      <c r="J13" s="26">
        <v>0</v>
      </c>
      <c r="K13" s="26">
        <v>0</v>
      </c>
      <c r="L13" s="26">
        <v>0</v>
      </c>
      <c r="M13" s="26">
        <v>0</v>
      </c>
      <c r="N13" s="25">
        <v>1</v>
      </c>
      <c r="O13" s="25">
        <v>1</v>
      </c>
      <c r="P13" s="11">
        <v>2045000</v>
      </c>
      <c r="Q13" s="11">
        <v>218479.34710000001</v>
      </c>
      <c r="R13" s="11">
        <v>1826520.6529000001</v>
      </c>
      <c r="S13" s="11">
        <v>10045.863600000001</v>
      </c>
      <c r="T13" s="7">
        <v>-1.07</v>
      </c>
      <c r="U13" s="11">
        <v>1826520.6529000001</v>
      </c>
      <c r="V13" s="11">
        <v>221304.1306</v>
      </c>
      <c r="W13" s="11">
        <v>1605216.5223000001</v>
      </c>
      <c r="X13" s="11">
        <v>8828.6908999999996</v>
      </c>
      <c r="Y13" s="7">
        <v>0.21</v>
      </c>
      <c r="Z13" s="11">
        <v>1605216.5223000001</v>
      </c>
      <c r="AA13" s="11">
        <v>222716.52230000001</v>
      </c>
      <c r="AB13" s="11">
        <v>1382500</v>
      </c>
      <c r="AC13" s="11">
        <v>7603.75</v>
      </c>
      <c r="AD13" s="7">
        <v>0.85</v>
      </c>
      <c r="AE13" s="11">
        <v>1382500</v>
      </c>
      <c r="AF13" s="11">
        <v>222716.52230000001</v>
      </c>
      <c r="AG13" s="11">
        <v>1159783.4776999999</v>
      </c>
      <c r="AH13" s="11">
        <v>6378.8091000000004</v>
      </c>
      <c r="AI13" s="7">
        <v>0.85</v>
      </c>
      <c r="AJ13" s="11">
        <v>1159783.4776999999</v>
      </c>
      <c r="AK13" s="11">
        <v>221304.1306</v>
      </c>
      <c r="AL13" s="11">
        <v>938479.34710000001</v>
      </c>
      <c r="AM13" s="11">
        <v>5161.6364000000003</v>
      </c>
      <c r="AN13" s="7">
        <v>0.21</v>
      </c>
      <c r="AO13" s="11">
        <v>938479.34710000001</v>
      </c>
      <c r="AP13" s="11">
        <v>218479.34710000001</v>
      </c>
      <c r="AQ13" s="11">
        <v>720000</v>
      </c>
      <c r="AR13" s="11">
        <v>3960</v>
      </c>
      <c r="AS13" s="7">
        <v>-1.07</v>
      </c>
    </row>
    <row r="14" spans="1:45" x14ac:dyDescent="0.3">
      <c r="A14" s="4" t="s">
        <v>35</v>
      </c>
      <c r="B14" s="4" t="s">
        <v>36</v>
      </c>
      <c r="C14" s="4" t="s">
        <v>15</v>
      </c>
      <c r="D14" s="5">
        <v>6.4999999999999997E-3</v>
      </c>
      <c r="E14" s="6">
        <v>307000</v>
      </c>
      <c r="F14" s="6">
        <v>307000</v>
      </c>
      <c r="G14" s="6">
        <v>1995.5</v>
      </c>
      <c r="H14" s="6">
        <v>22.142900000000001</v>
      </c>
      <c r="I14" s="8" t="s">
        <v>16</v>
      </c>
      <c r="J14" s="24">
        <v>0</v>
      </c>
      <c r="K14" s="24">
        <v>0</v>
      </c>
      <c r="L14" s="24">
        <v>0</v>
      </c>
      <c r="M14" s="24">
        <v>0</v>
      </c>
      <c r="N14" s="25">
        <v>1</v>
      </c>
      <c r="O14" s="25">
        <v>1</v>
      </c>
      <c r="P14" s="6">
        <v>307000</v>
      </c>
      <c r="Q14" s="6">
        <v>50621.252500000002</v>
      </c>
      <c r="R14" s="6">
        <v>256378.7475</v>
      </c>
      <c r="S14" s="6">
        <v>1666.4619</v>
      </c>
      <c r="T14" s="7">
        <v>-1.07</v>
      </c>
      <c r="U14" s="6">
        <v>256378.7475</v>
      </c>
      <c r="V14" s="6">
        <v>51275.749499999998</v>
      </c>
      <c r="W14" s="6">
        <v>205102.99799999999</v>
      </c>
      <c r="X14" s="6">
        <v>1333.1695</v>
      </c>
      <c r="Y14" s="7">
        <v>0.21</v>
      </c>
      <c r="Z14" s="6">
        <v>205102.99799999999</v>
      </c>
      <c r="AA14" s="6">
        <v>51602.998</v>
      </c>
      <c r="AB14" s="6">
        <v>153500</v>
      </c>
      <c r="AC14" s="6">
        <v>997.75</v>
      </c>
      <c r="AD14" s="7">
        <v>0.85</v>
      </c>
      <c r="AE14" s="6">
        <v>153500</v>
      </c>
      <c r="AF14" s="6">
        <v>51602.998</v>
      </c>
      <c r="AG14" s="6">
        <v>101897.00199999999</v>
      </c>
      <c r="AH14" s="6">
        <v>662.33050000000003</v>
      </c>
      <c r="AI14" s="7">
        <v>0.85</v>
      </c>
      <c r="AJ14" s="6">
        <v>101897.00199999999</v>
      </c>
      <c r="AK14" s="6">
        <v>51275.749499999998</v>
      </c>
      <c r="AL14" s="6">
        <v>50621.252500000002</v>
      </c>
      <c r="AM14" s="6">
        <v>329.03809999999999</v>
      </c>
      <c r="AN14" s="7">
        <v>0.21</v>
      </c>
      <c r="AO14" s="6">
        <v>50621.252500000002</v>
      </c>
      <c r="AP14" s="6">
        <v>50621.252500000002</v>
      </c>
      <c r="AQ14" s="6">
        <v>0</v>
      </c>
      <c r="AR14" s="6">
        <v>0</v>
      </c>
      <c r="AS14" s="7">
        <v>-1.07</v>
      </c>
    </row>
    <row r="15" spans="1:45" x14ac:dyDescent="0.3">
      <c r="A15" s="9" t="s">
        <v>37</v>
      </c>
      <c r="B15" s="9" t="s">
        <v>38</v>
      </c>
      <c r="C15" s="9" t="s">
        <v>15</v>
      </c>
      <c r="D15" s="10">
        <v>4.4999999999999997E-3</v>
      </c>
      <c r="E15" s="11">
        <v>360000</v>
      </c>
      <c r="F15" s="11">
        <v>264000</v>
      </c>
      <c r="G15" s="11">
        <v>1620</v>
      </c>
      <c r="H15" s="11">
        <v>22.142900000000001</v>
      </c>
      <c r="I15" s="8" t="s">
        <v>16</v>
      </c>
      <c r="J15" s="26">
        <v>0</v>
      </c>
      <c r="K15" s="26">
        <v>0</v>
      </c>
      <c r="L15" s="26">
        <v>0</v>
      </c>
      <c r="M15" s="26">
        <v>0</v>
      </c>
      <c r="N15" s="25">
        <v>1</v>
      </c>
      <c r="O15" s="25">
        <v>1</v>
      </c>
      <c r="P15" s="11">
        <v>360000</v>
      </c>
      <c r="Q15" s="11">
        <v>43530.979299999999</v>
      </c>
      <c r="R15" s="11">
        <v>316469.02069999999</v>
      </c>
      <c r="S15" s="11">
        <v>1424.1106</v>
      </c>
      <c r="T15" s="7">
        <v>-1.07</v>
      </c>
      <c r="U15" s="11">
        <v>316469.02069999999</v>
      </c>
      <c r="V15" s="11">
        <v>44093.804199999999</v>
      </c>
      <c r="W15" s="11">
        <v>272375.21649999998</v>
      </c>
      <c r="X15" s="11">
        <v>1225.6885</v>
      </c>
      <c r="Y15" s="7">
        <v>0.21</v>
      </c>
      <c r="Z15" s="11">
        <v>272375.21649999998</v>
      </c>
      <c r="AA15" s="11">
        <v>44375.216500000002</v>
      </c>
      <c r="AB15" s="11">
        <v>228000</v>
      </c>
      <c r="AC15" s="11">
        <v>1026</v>
      </c>
      <c r="AD15" s="7">
        <v>0.85</v>
      </c>
      <c r="AE15" s="11">
        <v>228000</v>
      </c>
      <c r="AF15" s="11">
        <v>44375.216500000002</v>
      </c>
      <c r="AG15" s="11">
        <v>183624.78349999999</v>
      </c>
      <c r="AH15" s="11">
        <v>826.31150000000002</v>
      </c>
      <c r="AI15" s="7">
        <v>0.85</v>
      </c>
      <c r="AJ15" s="11">
        <v>183624.78349999999</v>
      </c>
      <c r="AK15" s="11">
        <v>44093.804199999999</v>
      </c>
      <c r="AL15" s="11">
        <v>139530.97930000001</v>
      </c>
      <c r="AM15" s="11">
        <v>627.88940000000002</v>
      </c>
      <c r="AN15" s="7">
        <v>0.21</v>
      </c>
      <c r="AO15" s="11">
        <v>139530.97930000001</v>
      </c>
      <c r="AP15" s="11">
        <v>43530.979299999999</v>
      </c>
      <c r="AQ15" s="11">
        <v>96000</v>
      </c>
      <c r="AR15" s="11">
        <v>432</v>
      </c>
      <c r="AS15" s="7">
        <v>-1.07</v>
      </c>
    </row>
    <row r="16" spans="1:45" x14ac:dyDescent="0.3">
      <c r="A16" s="4" t="s">
        <v>39</v>
      </c>
      <c r="B16" s="4" t="s">
        <v>40</v>
      </c>
      <c r="C16" s="4" t="s">
        <v>15</v>
      </c>
      <c r="D16" s="5">
        <v>3.8E-3</v>
      </c>
      <c r="E16" s="6">
        <v>2360000</v>
      </c>
      <c r="F16" s="6">
        <v>1040000</v>
      </c>
      <c r="G16" s="6">
        <v>8968</v>
      </c>
      <c r="H16" s="6">
        <v>22.142900000000001</v>
      </c>
      <c r="I16" s="8" t="s">
        <v>16</v>
      </c>
      <c r="J16" s="24">
        <v>0</v>
      </c>
      <c r="K16" s="24">
        <v>0</v>
      </c>
      <c r="L16" s="24">
        <v>0</v>
      </c>
      <c r="M16" s="24">
        <v>0</v>
      </c>
      <c r="N16" s="25">
        <v>1</v>
      </c>
      <c r="O16" s="25">
        <v>1</v>
      </c>
      <c r="P16" s="6">
        <v>2360000</v>
      </c>
      <c r="Q16" s="6">
        <v>171485.67619999999</v>
      </c>
      <c r="R16" s="6">
        <v>2188514.3237999999</v>
      </c>
      <c r="S16" s="6">
        <v>8316.3544000000002</v>
      </c>
      <c r="T16" s="7">
        <v>-1.07</v>
      </c>
      <c r="U16" s="6">
        <v>2188514.3237999999</v>
      </c>
      <c r="V16" s="6">
        <v>173702.86480000001</v>
      </c>
      <c r="W16" s="6">
        <v>2014811.459</v>
      </c>
      <c r="X16" s="6">
        <v>7656.2834999999995</v>
      </c>
      <c r="Y16" s="7">
        <v>0.21</v>
      </c>
      <c r="Z16" s="6">
        <v>2014811.459</v>
      </c>
      <c r="AA16" s="6">
        <v>174811.459</v>
      </c>
      <c r="AB16" s="6">
        <v>1840000</v>
      </c>
      <c r="AC16" s="6">
        <v>6992</v>
      </c>
      <c r="AD16" s="7">
        <v>0.85</v>
      </c>
      <c r="AE16" s="6">
        <v>1840000</v>
      </c>
      <c r="AF16" s="6">
        <v>174811.459</v>
      </c>
      <c r="AG16" s="6">
        <v>1665188.541</v>
      </c>
      <c r="AH16" s="6">
        <v>6327.7165000000005</v>
      </c>
      <c r="AI16" s="7">
        <v>0.85</v>
      </c>
      <c r="AJ16" s="6">
        <v>1665188.541</v>
      </c>
      <c r="AK16" s="6">
        <v>173702.86480000001</v>
      </c>
      <c r="AL16" s="6">
        <v>1491485.6762000001</v>
      </c>
      <c r="AM16" s="6">
        <v>5667.6455999999998</v>
      </c>
      <c r="AN16" s="7">
        <v>0.21</v>
      </c>
      <c r="AO16" s="6">
        <v>1491485.6762000001</v>
      </c>
      <c r="AP16" s="6">
        <v>171485.67619999999</v>
      </c>
      <c r="AQ16" s="6">
        <v>1320000</v>
      </c>
      <c r="AR16" s="6">
        <v>5016</v>
      </c>
      <c r="AS16" s="7">
        <v>-1.07</v>
      </c>
    </row>
    <row r="17" spans="1:45" x14ac:dyDescent="0.3">
      <c r="A17" s="9" t="s">
        <v>41</v>
      </c>
      <c r="B17" s="9" t="s">
        <v>42</v>
      </c>
      <c r="C17" s="9" t="s">
        <v>15</v>
      </c>
      <c r="D17" s="10">
        <v>4.0000000000000001E-3</v>
      </c>
      <c r="E17" s="11">
        <v>2174000</v>
      </c>
      <c r="F17" s="11">
        <v>2174000</v>
      </c>
      <c r="G17" s="11">
        <v>8696</v>
      </c>
      <c r="H17" s="11">
        <v>22.142900000000001</v>
      </c>
      <c r="I17" s="8" t="s">
        <v>16</v>
      </c>
      <c r="J17" s="26">
        <v>0</v>
      </c>
      <c r="K17" s="26">
        <v>0</v>
      </c>
      <c r="L17" s="26">
        <v>0</v>
      </c>
      <c r="M17" s="26">
        <v>0</v>
      </c>
      <c r="N17" s="25">
        <v>1</v>
      </c>
      <c r="O17" s="25">
        <v>1</v>
      </c>
      <c r="P17" s="11">
        <v>2174000</v>
      </c>
      <c r="Q17" s="11">
        <v>358471.01929999999</v>
      </c>
      <c r="R17" s="11">
        <v>1815528.9807</v>
      </c>
      <c r="S17" s="11">
        <v>7262.1158999999998</v>
      </c>
      <c r="T17" s="7">
        <v>-1.07</v>
      </c>
      <c r="U17" s="11">
        <v>1815528.9807</v>
      </c>
      <c r="V17" s="11">
        <v>363105.79619999998</v>
      </c>
      <c r="W17" s="11">
        <v>1452423.1845</v>
      </c>
      <c r="X17" s="11">
        <v>5809.6926999999996</v>
      </c>
      <c r="Y17" s="7">
        <v>0.21</v>
      </c>
      <c r="Z17" s="11">
        <v>1452423.1845</v>
      </c>
      <c r="AA17" s="11">
        <v>365423.18449999997</v>
      </c>
      <c r="AB17" s="11">
        <v>1087000</v>
      </c>
      <c r="AC17" s="11">
        <v>4348</v>
      </c>
      <c r="AD17" s="7">
        <v>0.85</v>
      </c>
      <c r="AE17" s="11">
        <v>1087000</v>
      </c>
      <c r="AF17" s="11">
        <v>365423.18449999997</v>
      </c>
      <c r="AG17" s="11">
        <v>721576.81550000003</v>
      </c>
      <c r="AH17" s="11">
        <v>2886.3072999999999</v>
      </c>
      <c r="AI17" s="7">
        <v>0.85</v>
      </c>
      <c r="AJ17" s="11">
        <v>721576.81550000003</v>
      </c>
      <c r="AK17" s="11">
        <v>363105.79619999998</v>
      </c>
      <c r="AL17" s="11">
        <v>358471.01929999999</v>
      </c>
      <c r="AM17" s="11">
        <v>1433.8841</v>
      </c>
      <c r="AN17" s="7">
        <v>0.21</v>
      </c>
      <c r="AO17" s="11">
        <v>358471.01929999999</v>
      </c>
      <c r="AP17" s="11">
        <v>358471.01929999999</v>
      </c>
      <c r="AQ17" s="11">
        <v>0</v>
      </c>
      <c r="AR17" s="11">
        <v>0</v>
      </c>
      <c r="AS17" s="7">
        <v>-1.07</v>
      </c>
    </row>
    <row r="18" spans="1:45" x14ac:dyDescent="0.3">
      <c r="A18" s="4" t="s">
        <v>43</v>
      </c>
      <c r="B18" s="4" t="s">
        <v>44</v>
      </c>
      <c r="C18" s="4" t="s">
        <v>15</v>
      </c>
      <c r="D18" s="5">
        <v>6.6E-3</v>
      </c>
      <c r="E18" s="6">
        <v>2286000</v>
      </c>
      <c r="F18" s="6">
        <v>2286000</v>
      </c>
      <c r="G18" s="6">
        <v>15087.6</v>
      </c>
      <c r="H18" s="6">
        <v>22.142900000000001</v>
      </c>
      <c r="I18" s="8" t="s">
        <v>16</v>
      </c>
      <c r="J18" s="24">
        <v>0</v>
      </c>
      <c r="K18" s="24">
        <v>0</v>
      </c>
      <c r="L18" s="24">
        <v>0</v>
      </c>
      <c r="M18" s="24">
        <v>0</v>
      </c>
      <c r="N18" s="25">
        <v>1</v>
      </c>
      <c r="O18" s="25">
        <v>1</v>
      </c>
      <c r="P18" s="6">
        <v>2286000</v>
      </c>
      <c r="Q18" s="6">
        <v>376938.70750000002</v>
      </c>
      <c r="R18" s="6">
        <v>1909061.2925</v>
      </c>
      <c r="S18" s="6">
        <v>12599.8045</v>
      </c>
      <c r="T18" s="7">
        <v>-1.07</v>
      </c>
      <c r="U18" s="6">
        <v>1909061.2925</v>
      </c>
      <c r="V18" s="6">
        <v>381812.2585</v>
      </c>
      <c r="W18" s="6">
        <v>1527249.034</v>
      </c>
      <c r="X18" s="6">
        <v>10079.8436</v>
      </c>
      <c r="Y18" s="7">
        <v>0.21</v>
      </c>
      <c r="Z18" s="6">
        <v>1527249.034</v>
      </c>
      <c r="AA18" s="6">
        <v>384249.03399999999</v>
      </c>
      <c r="AB18" s="6">
        <v>1143000</v>
      </c>
      <c r="AC18" s="6">
        <v>7543.8</v>
      </c>
      <c r="AD18" s="7">
        <v>0.85</v>
      </c>
      <c r="AE18" s="6">
        <v>1143000</v>
      </c>
      <c r="AF18" s="6">
        <v>384249.03399999999</v>
      </c>
      <c r="AG18" s="6">
        <v>758750.96600000001</v>
      </c>
      <c r="AH18" s="6">
        <v>5007.7564000000002</v>
      </c>
      <c r="AI18" s="7">
        <v>0.85</v>
      </c>
      <c r="AJ18" s="6">
        <v>758750.96600000001</v>
      </c>
      <c r="AK18" s="6">
        <v>381812.2585</v>
      </c>
      <c r="AL18" s="6">
        <v>376938.70750000002</v>
      </c>
      <c r="AM18" s="6">
        <v>2487.7955000000002</v>
      </c>
      <c r="AN18" s="7">
        <v>0.21</v>
      </c>
      <c r="AO18" s="6">
        <v>376938.70750000002</v>
      </c>
      <c r="AP18" s="6">
        <v>376938.70750000002</v>
      </c>
      <c r="AQ18" s="6">
        <v>0</v>
      </c>
      <c r="AR18" s="6">
        <v>0</v>
      </c>
      <c r="AS18" s="7">
        <v>-1.07</v>
      </c>
    </row>
    <row r="19" spans="1:45" x14ac:dyDescent="0.3">
      <c r="A19" s="9" t="s">
        <v>45</v>
      </c>
      <c r="B19" s="9" t="s">
        <v>46</v>
      </c>
      <c r="C19" s="9" t="s">
        <v>15</v>
      </c>
      <c r="D19" s="10">
        <v>2.4899999999999999E-2</v>
      </c>
      <c r="E19" s="11">
        <v>2018000</v>
      </c>
      <c r="F19" s="11">
        <v>1122000</v>
      </c>
      <c r="G19" s="11">
        <v>50248.2</v>
      </c>
      <c r="H19" s="11">
        <v>22.142900000000001</v>
      </c>
      <c r="I19" s="8" t="s">
        <v>16</v>
      </c>
      <c r="J19" s="26">
        <v>0</v>
      </c>
      <c r="K19" s="26">
        <v>0</v>
      </c>
      <c r="L19" s="26">
        <v>0</v>
      </c>
      <c r="M19" s="26">
        <v>0</v>
      </c>
      <c r="N19" s="25">
        <v>1</v>
      </c>
      <c r="O19" s="25">
        <v>1</v>
      </c>
      <c r="P19" s="11">
        <v>2018000</v>
      </c>
      <c r="Q19" s="11">
        <v>185006.66219999999</v>
      </c>
      <c r="R19" s="11">
        <v>1832993.3378000001</v>
      </c>
      <c r="S19" s="11">
        <v>45641.534099999997</v>
      </c>
      <c r="T19" s="7">
        <v>-1.07</v>
      </c>
      <c r="U19" s="11">
        <v>1832993.3378000001</v>
      </c>
      <c r="V19" s="11">
        <v>187398.66759999999</v>
      </c>
      <c r="W19" s="11">
        <v>1645594.6702000001</v>
      </c>
      <c r="X19" s="11">
        <v>40975.3073</v>
      </c>
      <c r="Y19" s="7">
        <v>0.21</v>
      </c>
      <c r="Z19" s="11">
        <v>1645594.6702000001</v>
      </c>
      <c r="AA19" s="11">
        <v>188594.67019999999</v>
      </c>
      <c r="AB19" s="11">
        <v>1457000</v>
      </c>
      <c r="AC19" s="11">
        <v>36279.300000000003</v>
      </c>
      <c r="AD19" s="7">
        <v>0.85</v>
      </c>
      <c r="AE19" s="11">
        <v>1457000</v>
      </c>
      <c r="AF19" s="11">
        <v>188594.67019999999</v>
      </c>
      <c r="AG19" s="11">
        <v>1268405.3297999999</v>
      </c>
      <c r="AH19" s="11">
        <v>31583.292700000002</v>
      </c>
      <c r="AI19" s="7">
        <v>0.85</v>
      </c>
      <c r="AJ19" s="11">
        <v>1268405.3297999999</v>
      </c>
      <c r="AK19" s="11">
        <v>187398.66759999999</v>
      </c>
      <c r="AL19" s="11">
        <v>1081006.6621999999</v>
      </c>
      <c r="AM19" s="11">
        <v>26917.065900000001</v>
      </c>
      <c r="AN19" s="7">
        <v>0.21</v>
      </c>
      <c r="AO19" s="11">
        <v>1081006.6621999999</v>
      </c>
      <c r="AP19" s="11">
        <v>185006.66219999999</v>
      </c>
      <c r="AQ19" s="11">
        <v>896000</v>
      </c>
      <c r="AR19" s="11">
        <v>22310.400000000001</v>
      </c>
      <c r="AS19" s="7">
        <v>-1.07</v>
      </c>
    </row>
    <row r="20" spans="1:45" x14ac:dyDescent="0.3">
      <c r="A20" s="4" t="s">
        <v>47</v>
      </c>
      <c r="B20" s="4" t="s">
        <v>48</v>
      </c>
      <c r="C20" s="4" t="s">
        <v>15</v>
      </c>
      <c r="D20" s="5">
        <v>7.2999999999999995E-2</v>
      </c>
      <c r="E20" s="6">
        <v>62000</v>
      </c>
      <c r="F20" s="6">
        <v>12000</v>
      </c>
      <c r="G20" s="6">
        <v>4526</v>
      </c>
      <c r="H20" s="6">
        <v>22.142900000000001</v>
      </c>
      <c r="I20" s="8" t="s">
        <v>16</v>
      </c>
      <c r="J20" s="24">
        <v>0</v>
      </c>
      <c r="K20" s="24">
        <v>0</v>
      </c>
      <c r="L20" s="24">
        <v>0</v>
      </c>
      <c r="M20" s="24">
        <v>0</v>
      </c>
      <c r="N20" s="25">
        <v>1</v>
      </c>
      <c r="O20" s="25">
        <v>1</v>
      </c>
      <c r="P20" s="6">
        <v>62000</v>
      </c>
      <c r="Q20" s="6">
        <v>1978.6809000000001</v>
      </c>
      <c r="R20" s="6">
        <v>60021.319100000001</v>
      </c>
      <c r="S20" s="6">
        <v>4381.5563000000002</v>
      </c>
      <c r="T20" s="7">
        <v>-1.07</v>
      </c>
      <c r="U20" s="6">
        <v>60021.319100000001</v>
      </c>
      <c r="V20" s="6">
        <v>2004.2637999999999</v>
      </c>
      <c r="W20" s="6">
        <v>58017.0553</v>
      </c>
      <c r="X20" s="6">
        <v>4235.2449999999999</v>
      </c>
      <c r="Y20" s="7">
        <v>0.21</v>
      </c>
      <c r="Z20" s="6">
        <v>58017.0553</v>
      </c>
      <c r="AA20" s="6">
        <v>2017.0553</v>
      </c>
      <c r="AB20" s="6">
        <v>56000</v>
      </c>
      <c r="AC20" s="6">
        <v>4088</v>
      </c>
      <c r="AD20" s="7">
        <v>0.85</v>
      </c>
      <c r="AE20" s="6">
        <v>56000</v>
      </c>
      <c r="AF20" s="6">
        <v>2017.0553</v>
      </c>
      <c r="AG20" s="6">
        <v>53982.9447</v>
      </c>
      <c r="AH20" s="6">
        <v>3940.7550000000001</v>
      </c>
      <c r="AI20" s="7">
        <v>0.85</v>
      </c>
      <c r="AJ20" s="6">
        <v>53982.9447</v>
      </c>
      <c r="AK20" s="6">
        <v>2004.2637999999999</v>
      </c>
      <c r="AL20" s="6">
        <v>51978.680899999999</v>
      </c>
      <c r="AM20" s="6">
        <v>3794.4436999999998</v>
      </c>
      <c r="AN20" s="7">
        <v>0.21</v>
      </c>
      <c r="AO20" s="6">
        <v>51978.680899999999</v>
      </c>
      <c r="AP20" s="6">
        <v>1978.6809000000001</v>
      </c>
      <c r="AQ20" s="6">
        <v>50000</v>
      </c>
      <c r="AR20" s="6">
        <v>3650</v>
      </c>
      <c r="AS20" s="7">
        <v>-1.07</v>
      </c>
    </row>
    <row r="21" spans="1:45" x14ac:dyDescent="0.3">
      <c r="A21" s="9" t="s">
        <v>49</v>
      </c>
      <c r="B21" s="9" t="s">
        <v>50</v>
      </c>
      <c r="C21" s="9" t="s">
        <v>15</v>
      </c>
      <c r="D21" s="10">
        <v>1.4E-2</v>
      </c>
      <c r="E21" s="11">
        <v>89420</v>
      </c>
      <c r="F21" s="11">
        <v>31820</v>
      </c>
      <c r="G21" s="11">
        <v>1251.8800000000001</v>
      </c>
      <c r="H21" s="11">
        <v>22.142900000000001</v>
      </c>
      <c r="I21" s="8" t="s">
        <v>16</v>
      </c>
      <c r="J21" s="26">
        <v>0</v>
      </c>
      <c r="K21" s="26">
        <v>0</v>
      </c>
      <c r="L21" s="26">
        <v>0</v>
      </c>
      <c r="M21" s="26">
        <v>0</v>
      </c>
      <c r="N21" s="25">
        <v>1</v>
      </c>
      <c r="O21" s="25">
        <v>1</v>
      </c>
      <c r="P21" s="11">
        <v>89420</v>
      </c>
      <c r="Q21" s="11">
        <v>5246.8020999999999</v>
      </c>
      <c r="R21" s="11">
        <v>84173.197899999999</v>
      </c>
      <c r="S21" s="11">
        <v>1178.4248</v>
      </c>
      <c r="T21" s="7">
        <v>-1.07</v>
      </c>
      <c r="U21" s="11">
        <v>84173.197899999999</v>
      </c>
      <c r="V21" s="11">
        <v>5314.6396000000004</v>
      </c>
      <c r="W21" s="11">
        <v>78858.558300000004</v>
      </c>
      <c r="X21" s="11">
        <v>1104.0198</v>
      </c>
      <c r="Y21" s="7">
        <v>0.21</v>
      </c>
      <c r="Z21" s="11">
        <v>78858.558300000004</v>
      </c>
      <c r="AA21" s="11">
        <v>5348.5582999999997</v>
      </c>
      <c r="AB21" s="11">
        <v>73510</v>
      </c>
      <c r="AC21" s="11">
        <v>1029.1400000000001</v>
      </c>
      <c r="AD21" s="7">
        <v>0.85</v>
      </c>
      <c r="AE21" s="11">
        <v>73510</v>
      </c>
      <c r="AF21" s="11">
        <v>5348.5582999999997</v>
      </c>
      <c r="AG21" s="11">
        <v>68161.441699999996</v>
      </c>
      <c r="AH21" s="11">
        <v>954.26020000000005</v>
      </c>
      <c r="AI21" s="7">
        <v>0.85</v>
      </c>
      <c r="AJ21" s="11">
        <v>68161.441699999996</v>
      </c>
      <c r="AK21" s="11">
        <v>5314.6396000000004</v>
      </c>
      <c r="AL21" s="11">
        <v>62846.802100000001</v>
      </c>
      <c r="AM21" s="11">
        <v>879.85519999999997</v>
      </c>
      <c r="AN21" s="7">
        <v>0.21</v>
      </c>
      <c r="AO21" s="11">
        <v>62846.802100000001</v>
      </c>
      <c r="AP21" s="11">
        <v>5246.8020999999999</v>
      </c>
      <c r="AQ21" s="11">
        <v>57600</v>
      </c>
      <c r="AR21" s="11">
        <v>806.4</v>
      </c>
      <c r="AS21" s="7">
        <v>-1.07</v>
      </c>
    </row>
    <row r="22" spans="1:45" x14ac:dyDescent="0.3">
      <c r="A22" s="4" t="s">
        <v>51</v>
      </c>
      <c r="B22" s="4" t="s">
        <v>52</v>
      </c>
      <c r="C22" s="4" t="s">
        <v>15</v>
      </c>
      <c r="D22" s="5">
        <v>0.2041</v>
      </c>
      <c r="E22" s="6">
        <v>114561</v>
      </c>
      <c r="F22" s="6">
        <v>53961</v>
      </c>
      <c r="G22" s="6">
        <v>23381.900099999999</v>
      </c>
      <c r="H22" s="6">
        <v>22.142900000000001</v>
      </c>
      <c r="I22" s="12" t="s">
        <v>53</v>
      </c>
      <c r="J22" s="24">
        <v>0</v>
      </c>
      <c r="K22" s="24">
        <v>0</v>
      </c>
      <c r="L22" s="27">
        <v>1</v>
      </c>
      <c r="M22" s="24">
        <v>0</v>
      </c>
      <c r="N22" s="24">
        <v>0</v>
      </c>
      <c r="O22" s="27">
        <v>1</v>
      </c>
      <c r="P22" s="6">
        <v>114561</v>
      </c>
      <c r="Q22" s="6">
        <v>8897.6332000000002</v>
      </c>
      <c r="R22" s="6">
        <v>105663.3668</v>
      </c>
      <c r="S22" s="6">
        <v>21565.893199999999</v>
      </c>
      <c r="T22" s="7">
        <v>-1.07</v>
      </c>
      <c r="U22" s="6">
        <v>105663.3668</v>
      </c>
      <c r="V22" s="6">
        <v>9012.6733999999997</v>
      </c>
      <c r="W22" s="6">
        <v>96650.693400000004</v>
      </c>
      <c r="X22" s="6">
        <v>19726.406500000001</v>
      </c>
      <c r="Y22" s="7">
        <v>0.21</v>
      </c>
      <c r="Z22" s="6">
        <v>96650.693400000004</v>
      </c>
      <c r="AA22" s="6">
        <v>9070.1934000000001</v>
      </c>
      <c r="AB22" s="6">
        <v>87580.5</v>
      </c>
      <c r="AC22" s="6">
        <v>17875.18</v>
      </c>
      <c r="AD22" s="7">
        <v>0.85</v>
      </c>
      <c r="AE22" s="6">
        <v>87580.5</v>
      </c>
      <c r="AF22" s="6">
        <v>9070.1934000000001</v>
      </c>
      <c r="AG22" s="6">
        <v>78510.306599999996</v>
      </c>
      <c r="AH22" s="6">
        <v>16023.953600000001</v>
      </c>
      <c r="AI22" s="7">
        <v>0.85</v>
      </c>
      <c r="AJ22" s="6">
        <v>78510.306599999996</v>
      </c>
      <c r="AK22" s="6">
        <v>9012.6733999999997</v>
      </c>
      <c r="AL22" s="6">
        <v>69497.633199999997</v>
      </c>
      <c r="AM22" s="6">
        <v>14184.466899999999</v>
      </c>
      <c r="AN22" s="7">
        <v>0.21</v>
      </c>
      <c r="AO22" s="6">
        <v>69497.633199999997</v>
      </c>
      <c r="AP22" s="6">
        <v>8897.6332000000002</v>
      </c>
      <c r="AQ22" s="6">
        <v>60600</v>
      </c>
      <c r="AR22" s="6">
        <v>12368.46</v>
      </c>
      <c r="AS22" s="7">
        <v>-1.07</v>
      </c>
    </row>
    <row r="23" spans="1:45" x14ac:dyDescent="0.3">
      <c r="A23" s="9" t="s">
        <v>54</v>
      </c>
      <c r="B23" s="9" t="s">
        <v>55</v>
      </c>
      <c r="C23" s="9" t="s">
        <v>15</v>
      </c>
      <c r="D23" s="10">
        <v>0.28610000000000002</v>
      </c>
      <c r="E23" s="11">
        <v>95882</v>
      </c>
      <c r="F23" s="11">
        <v>0</v>
      </c>
      <c r="G23" s="11">
        <v>27431.840199999999</v>
      </c>
      <c r="H23" s="11">
        <v>22.142900000000001</v>
      </c>
      <c r="I23" s="12" t="s">
        <v>53</v>
      </c>
      <c r="J23" s="26">
        <v>0</v>
      </c>
      <c r="K23" s="26">
        <v>0</v>
      </c>
      <c r="L23" s="27">
        <v>1</v>
      </c>
      <c r="M23" s="26">
        <v>0</v>
      </c>
      <c r="N23" s="26">
        <v>0</v>
      </c>
      <c r="O23" s="27">
        <v>1</v>
      </c>
      <c r="P23" s="11">
        <v>95882</v>
      </c>
      <c r="Q23" s="11">
        <v>0</v>
      </c>
      <c r="R23" s="11">
        <v>95882</v>
      </c>
      <c r="S23" s="11">
        <v>27431.840199999999</v>
      </c>
      <c r="T23" s="7">
        <v>0</v>
      </c>
      <c r="U23" s="11">
        <v>95882</v>
      </c>
      <c r="V23" s="11">
        <v>0</v>
      </c>
      <c r="W23" s="11">
        <v>95882</v>
      </c>
      <c r="X23" s="11">
        <v>27431.840199999999</v>
      </c>
      <c r="Y23" s="7">
        <v>0</v>
      </c>
      <c r="Z23" s="11">
        <v>95882</v>
      </c>
      <c r="AA23" s="11">
        <v>0</v>
      </c>
      <c r="AB23" s="11">
        <v>95882</v>
      </c>
      <c r="AC23" s="11">
        <v>27431.840199999999</v>
      </c>
      <c r="AD23" s="7">
        <v>0</v>
      </c>
      <c r="AE23" s="11">
        <v>95882</v>
      </c>
      <c r="AF23" s="11">
        <v>0</v>
      </c>
      <c r="AG23" s="11">
        <v>95882</v>
      </c>
      <c r="AH23" s="11">
        <v>27431.840199999999</v>
      </c>
      <c r="AI23" s="7">
        <v>0</v>
      </c>
      <c r="AJ23" s="11">
        <v>95882</v>
      </c>
      <c r="AK23" s="11">
        <v>0</v>
      </c>
      <c r="AL23" s="11">
        <v>95882</v>
      </c>
      <c r="AM23" s="11">
        <v>27431.840199999999</v>
      </c>
      <c r="AN23" s="7">
        <v>0</v>
      </c>
      <c r="AO23" s="11">
        <v>95882</v>
      </c>
      <c r="AP23" s="11">
        <v>0</v>
      </c>
      <c r="AQ23" s="11">
        <v>95882</v>
      </c>
      <c r="AR23" s="11">
        <v>27431.840199999999</v>
      </c>
      <c r="AS23" s="7">
        <v>0</v>
      </c>
    </row>
    <row r="24" spans="1:45" x14ac:dyDescent="0.3">
      <c r="A24" s="4" t="s">
        <v>56</v>
      </c>
      <c r="B24" s="4" t="s">
        <v>57</v>
      </c>
      <c r="C24" s="4" t="s">
        <v>15</v>
      </c>
      <c r="D24" s="5">
        <v>4.19E-2</v>
      </c>
      <c r="E24" s="6">
        <v>169272</v>
      </c>
      <c r="F24" s="6">
        <v>75572</v>
      </c>
      <c r="G24" s="6">
        <v>7092.4967999999999</v>
      </c>
      <c r="H24" s="6">
        <v>22.142900000000001</v>
      </c>
      <c r="I24" s="12" t="s">
        <v>53</v>
      </c>
      <c r="J24" s="24">
        <v>0</v>
      </c>
      <c r="K24" s="24">
        <v>0</v>
      </c>
      <c r="L24" s="27">
        <v>1</v>
      </c>
      <c r="M24" s="24">
        <v>0</v>
      </c>
      <c r="N24" s="24">
        <v>0</v>
      </c>
      <c r="O24" s="27">
        <v>1</v>
      </c>
      <c r="P24" s="6">
        <v>169272</v>
      </c>
      <c r="Q24" s="6">
        <v>12461.0726</v>
      </c>
      <c r="R24" s="6">
        <v>156810.92739999999</v>
      </c>
      <c r="S24" s="6">
        <v>6570.3779000000004</v>
      </c>
      <c r="T24" s="7">
        <v>-1.07</v>
      </c>
      <c r="U24" s="6">
        <v>156810.92739999999</v>
      </c>
      <c r="V24" s="6">
        <v>12622.1855</v>
      </c>
      <c r="W24" s="6">
        <v>144188.74189999999</v>
      </c>
      <c r="X24" s="6">
        <v>6041.5083000000004</v>
      </c>
      <c r="Y24" s="7">
        <v>0.21</v>
      </c>
      <c r="Z24" s="6">
        <v>144188.74189999999</v>
      </c>
      <c r="AA24" s="6">
        <v>12702.741900000001</v>
      </c>
      <c r="AB24" s="6">
        <v>131486</v>
      </c>
      <c r="AC24" s="6">
        <v>5509.2633999999998</v>
      </c>
      <c r="AD24" s="7">
        <v>0.85</v>
      </c>
      <c r="AE24" s="6">
        <v>131486</v>
      </c>
      <c r="AF24" s="6">
        <v>12702.741900000001</v>
      </c>
      <c r="AG24" s="6">
        <v>118783.25810000001</v>
      </c>
      <c r="AH24" s="6">
        <v>4977.0185000000001</v>
      </c>
      <c r="AI24" s="7">
        <v>0.85</v>
      </c>
      <c r="AJ24" s="6">
        <v>118783.25810000001</v>
      </c>
      <c r="AK24" s="6">
        <v>12622.1855</v>
      </c>
      <c r="AL24" s="6">
        <v>106161.0726</v>
      </c>
      <c r="AM24" s="6">
        <v>4448.1489000000001</v>
      </c>
      <c r="AN24" s="7">
        <v>0.21</v>
      </c>
      <c r="AO24" s="6">
        <v>106161.0726</v>
      </c>
      <c r="AP24" s="6">
        <v>12461.0726</v>
      </c>
      <c r="AQ24" s="6">
        <v>93700</v>
      </c>
      <c r="AR24" s="6">
        <v>3926.03</v>
      </c>
      <c r="AS24" s="7">
        <v>-1.07</v>
      </c>
    </row>
    <row r="25" spans="1:45" x14ac:dyDescent="0.3">
      <c r="A25" s="9" t="s">
        <v>58</v>
      </c>
      <c r="B25" s="9" t="s">
        <v>59</v>
      </c>
      <c r="C25" s="9" t="s">
        <v>60</v>
      </c>
      <c r="D25" s="10">
        <v>5.6899999999999999E-2</v>
      </c>
      <c r="E25" s="11">
        <v>47842</v>
      </c>
      <c r="F25" s="11">
        <v>15342</v>
      </c>
      <c r="G25" s="11">
        <v>2722.2098000000001</v>
      </c>
      <c r="H25" s="11">
        <v>0.85709999999999997</v>
      </c>
      <c r="I25" s="12" t="s">
        <v>53</v>
      </c>
      <c r="J25" s="26">
        <v>0</v>
      </c>
      <c r="K25" s="26">
        <v>0</v>
      </c>
      <c r="L25" s="27">
        <v>1</v>
      </c>
      <c r="M25" s="26">
        <v>0</v>
      </c>
      <c r="N25" s="26">
        <v>0</v>
      </c>
      <c r="O25" s="27">
        <v>1</v>
      </c>
      <c r="P25" s="11">
        <v>47842</v>
      </c>
      <c r="Q25" s="11">
        <v>2529.7435</v>
      </c>
      <c r="R25" s="11">
        <v>45312.256500000003</v>
      </c>
      <c r="S25" s="11">
        <v>2578.2674000000002</v>
      </c>
      <c r="T25" s="7">
        <v>-1.07</v>
      </c>
      <c r="U25" s="11">
        <v>45312.256500000003</v>
      </c>
      <c r="V25" s="11">
        <v>2562.4513000000002</v>
      </c>
      <c r="W25" s="11">
        <v>42749.805200000003</v>
      </c>
      <c r="X25" s="11">
        <v>2432.4639000000002</v>
      </c>
      <c r="Y25" s="7">
        <v>0.21</v>
      </c>
      <c r="Z25" s="11">
        <v>42749.805200000003</v>
      </c>
      <c r="AA25" s="11">
        <v>2578.8051999999998</v>
      </c>
      <c r="AB25" s="11">
        <v>40171</v>
      </c>
      <c r="AC25" s="11">
        <v>2285.7298999999998</v>
      </c>
      <c r="AD25" s="7">
        <v>0.85</v>
      </c>
      <c r="AE25" s="11">
        <v>40171</v>
      </c>
      <c r="AF25" s="11">
        <v>2578.8051999999998</v>
      </c>
      <c r="AG25" s="11">
        <v>37592.194799999997</v>
      </c>
      <c r="AH25" s="11">
        <v>2138.9958999999999</v>
      </c>
      <c r="AI25" s="7">
        <v>0.85</v>
      </c>
      <c r="AJ25" s="11">
        <v>37592.194799999997</v>
      </c>
      <c r="AK25" s="11">
        <v>2562.4513000000002</v>
      </c>
      <c r="AL25" s="11">
        <v>35029.743499999997</v>
      </c>
      <c r="AM25" s="11">
        <v>1993.1923999999999</v>
      </c>
      <c r="AN25" s="7">
        <v>0.21</v>
      </c>
      <c r="AO25" s="11">
        <v>35029.743499999997</v>
      </c>
      <c r="AP25" s="11">
        <v>2529.7435</v>
      </c>
      <c r="AQ25" s="11">
        <v>32500</v>
      </c>
      <c r="AR25" s="11">
        <v>1849.25</v>
      </c>
      <c r="AS25" s="7">
        <v>-1.07</v>
      </c>
    </row>
    <row r="26" spans="1:45" x14ac:dyDescent="0.3">
      <c r="A26" s="4" t="s">
        <v>61</v>
      </c>
      <c r="B26" s="4" t="s">
        <v>62</v>
      </c>
      <c r="C26" s="4" t="s">
        <v>15</v>
      </c>
      <c r="D26" s="5">
        <v>2.7699999999999999E-2</v>
      </c>
      <c r="E26" s="6">
        <v>256000</v>
      </c>
      <c r="F26" s="6">
        <v>224000</v>
      </c>
      <c r="G26" s="6">
        <v>7091.2</v>
      </c>
      <c r="H26" s="6">
        <v>22.142900000000001</v>
      </c>
      <c r="I26" s="8" t="s">
        <v>16</v>
      </c>
      <c r="J26" s="24">
        <v>0</v>
      </c>
      <c r="K26" s="24">
        <v>0</v>
      </c>
      <c r="L26" s="24">
        <v>0</v>
      </c>
      <c r="M26" s="24">
        <v>0</v>
      </c>
      <c r="N26" s="25">
        <v>1</v>
      </c>
      <c r="O26" s="25">
        <v>1</v>
      </c>
      <c r="P26" s="6">
        <v>256000</v>
      </c>
      <c r="Q26" s="6">
        <v>36935.376400000001</v>
      </c>
      <c r="R26" s="6">
        <v>219064.62359999999</v>
      </c>
      <c r="S26" s="6">
        <v>6068.0901000000003</v>
      </c>
      <c r="T26" s="7">
        <v>-1.07</v>
      </c>
      <c r="U26" s="6">
        <v>219064.62359999999</v>
      </c>
      <c r="V26" s="6">
        <v>37412.924700000003</v>
      </c>
      <c r="W26" s="6">
        <v>181651.69889999999</v>
      </c>
      <c r="X26" s="6">
        <v>5031.7520999999997</v>
      </c>
      <c r="Y26" s="7">
        <v>0.21</v>
      </c>
      <c r="Z26" s="6">
        <v>181651.69889999999</v>
      </c>
      <c r="AA26" s="6">
        <v>37651.698900000003</v>
      </c>
      <c r="AB26" s="6">
        <v>144000</v>
      </c>
      <c r="AC26" s="6">
        <v>3988.8</v>
      </c>
      <c r="AD26" s="7">
        <v>0.85</v>
      </c>
      <c r="AE26" s="6">
        <v>144000</v>
      </c>
      <c r="AF26" s="6">
        <v>37651.698900000003</v>
      </c>
      <c r="AG26" s="6">
        <v>106348.3011</v>
      </c>
      <c r="AH26" s="6">
        <v>2945.8479000000002</v>
      </c>
      <c r="AI26" s="7">
        <v>0.85</v>
      </c>
      <c r="AJ26" s="6">
        <v>106348.3011</v>
      </c>
      <c r="AK26" s="6">
        <v>37412.924700000003</v>
      </c>
      <c r="AL26" s="6">
        <v>68935.376399999994</v>
      </c>
      <c r="AM26" s="6">
        <v>1909.5099</v>
      </c>
      <c r="AN26" s="7">
        <v>0.21</v>
      </c>
      <c r="AO26" s="6">
        <v>68935.376399999994</v>
      </c>
      <c r="AP26" s="6">
        <v>36935.376400000001</v>
      </c>
      <c r="AQ26" s="6">
        <v>32000</v>
      </c>
      <c r="AR26" s="6">
        <v>886.4</v>
      </c>
      <c r="AS26" s="7">
        <v>-1.07</v>
      </c>
    </row>
    <row r="27" spans="1:45" x14ac:dyDescent="0.3">
      <c r="A27" s="9" t="s">
        <v>63</v>
      </c>
      <c r="B27" s="9" t="s">
        <v>64</v>
      </c>
      <c r="C27" s="9" t="s">
        <v>15</v>
      </c>
      <c r="D27" s="10">
        <v>1.47E-2</v>
      </c>
      <c r="E27" s="11">
        <v>160000</v>
      </c>
      <c r="F27" s="11">
        <v>160000</v>
      </c>
      <c r="G27" s="11">
        <v>2352</v>
      </c>
      <c r="H27" s="11">
        <v>22.142900000000001</v>
      </c>
      <c r="I27" s="12" t="s">
        <v>53</v>
      </c>
      <c r="J27" s="26">
        <v>0</v>
      </c>
      <c r="K27" s="26">
        <v>0</v>
      </c>
      <c r="L27" s="27">
        <v>1</v>
      </c>
      <c r="M27" s="26">
        <v>0</v>
      </c>
      <c r="N27" s="26">
        <v>0</v>
      </c>
      <c r="O27" s="27">
        <v>1</v>
      </c>
      <c r="P27" s="11">
        <v>160000</v>
      </c>
      <c r="Q27" s="11">
        <v>26382.411700000001</v>
      </c>
      <c r="R27" s="11">
        <v>133617.5883</v>
      </c>
      <c r="S27" s="11">
        <v>1964.1785</v>
      </c>
      <c r="T27" s="7">
        <v>-1.07</v>
      </c>
      <c r="U27" s="11">
        <v>133617.5883</v>
      </c>
      <c r="V27" s="11">
        <v>26723.5177</v>
      </c>
      <c r="W27" s="11">
        <v>106894.07060000001</v>
      </c>
      <c r="X27" s="11">
        <v>1571.3427999999999</v>
      </c>
      <c r="Y27" s="7">
        <v>0.21</v>
      </c>
      <c r="Z27" s="11">
        <v>106894.07060000001</v>
      </c>
      <c r="AA27" s="11">
        <v>26894.070599999999</v>
      </c>
      <c r="AB27" s="11">
        <v>80000</v>
      </c>
      <c r="AC27" s="11">
        <v>1176</v>
      </c>
      <c r="AD27" s="7">
        <v>0.85</v>
      </c>
      <c r="AE27" s="11">
        <v>80000</v>
      </c>
      <c r="AF27" s="11">
        <v>26894.070599999999</v>
      </c>
      <c r="AG27" s="11">
        <v>53105.929400000001</v>
      </c>
      <c r="AH27" s="11">
        <v>780.65719999999999</v>
      </c>
      <c r="AI27" s="7">
        <v>0.85</v>
      </c>
      <c r="AJ27" s="11">
        <v>53105.929400000001</v>
      </c>
      <c r="AK27" s="11">
        <v>26723.5177</v>
      </c>
      <c r="AL27" s="11">
        <v>26382.411700000001</v>
      </c>
      <c r="AM27" s="11">
        <v>387.82150000000001</v>
      </c>
      <c r="AN27" s="7">
        <v>0.21</v>
      </c>
      <c r="AO27" s="11">
        <v>26382.411700000001</v>
      </c>
      <c r="AP27" s="11">
        <v>26382.411700000001</v>
      </c>
      <c r="AQ27" s="11">
        <v>0</v>
      </c>
      <c r="AR27" s="11">
        <v>0</v>
      </c>
      <c r="AS27" s="7">
        <v>-1.07</v>
      </c>
    </row>
    <row r="28" spans="1:45" x14ac:dyDescent="0.3">
      <c r="A28" s="4" t="s">
        <v>65</v>
      </c>
      <c r="B28" s="4" t="s">
        <v>66</v>
      </c>
      <c r="C28" s="4" t="s">
        <v>15</v>
      </c>
      <c r="D28" s="5">
        <v>1.47E-2</v>
      </c>
      <c r="E28" s="6">
        <v>200000</v>
      </c>
      <c r="F28" s="6">
        <v>200000</v>
      </c>
      <c r="G28" s="6">
        <v>2940</v>
      </c>
      <c r="H28" s="6">
        <v>22.142900000000001</v>
      </c>
      <c r="I28" s="12" t="s">
        <v>53</v>
      </c>
      <c r="J28" s="24">
        <v>0</v>
      </c>
      <c r="K28" s="24">
        <v>0</v>
      </c>
      <c r="L28" s="27">
        <v>1</v>
      </c>
      <c r="M28" s="24">
        <v>0</v>
      </c>
      <c r="N28" s="24">
        <v>0</v>
      </c>
      <c r="O28" s="27">
        <v>1</v>
      </c>
      <c r="P28" s="6">
        <v>200000</v>
      </c>
      <c r="Q28" s="6">
        <v>32978.0147</v>
      </c>
      <c r="R28" s="6">
        <v>167021.9853</v>
      </c>
      <c r="S28" s="6">
        <v>2455.2231999999999</v>
      </c>
      <c r="T28" s="7">
        <v>-1.07</v>
      </c>
      <c r="U28" s="6">
        <v>167021.9853</v>
      </c>
      <c r="V28" s="6">
        <v>33404.396999999997</v>
      </c>
      <c r="W28" s="6">
        <v>133617.5883</v>
      </c>
      <c r="X28" s="6">
        <v>1964.1785</v>
      </c>
      <c r="Y28" s="7">
        <v>0.21</v>
      </c>
      <c r="Z28" s="6">
        <v>133617.5883</v>
      </c>
      <c r="AA28" s="6">
        <v>33617.588300000003</v>
      </c>
      <c r="AB28" s="6">
        <v>100000</v>
      </c>
      <c r="AC28" s="6">
        <v>1470</v>
      </c>
      <c r="AD28" s="7">
        <v>0.85</v>
      </c>
      <c r="AE28" s="6">
        <v>100000</v>
      </c>
      <c r="AF28" s="6">
        <v>33617.588300000003</v>
      </c>
      <c r="AG28" s="6">
        <v>66382.411699999997</v>
      </c>
      <c r="AH28" s="6">
        <v>975.82150000000001</v>
      </c>
      <c r="AI28" s="7">
        <v>0.85</v>
      </c>
      <c r="AJ28" s="6">
        <v>66382.411699999997</v>
      </c>
      <c r="AK28" s="6">
        <v>33404.396999999997</v>
      </c>
      <c r="AL28" s="6">
        <v>32978.0147</v>
      </c>
      <c r="AM28" s="6">
        <v>484.77679999999998</v>
      </c>
      <c r="AN28" s="7">
        <v>0.21</v>
      </c>
      <c r="AO28" s="6">
        <v>32978.0147</v>
      </c>
      <c r="AP28" s="6">
        <v>32978.0147</v>
      </c>
      <c r="AQ28" s="6">
        <v>0</v>
      </c>
      <c r="AR28" s="6">
        <v>0</v>
      </c>
      <c r="AS28" s="7">
        <v>-1.07</v>
      </c>
    </row>
    <row r="29" spans="1:45" x14ac:dyDescent="0.3">
      <c r="A29" s="9" t="s">
        <v>67</v>
      </c>
      <c r="B29" s="9" t="s">
        <v>68</v>
      </c>
      <c r="C29" s="9" t="s">
        <v>69</v>
      </c>
      <c r="D29" s="10">
        <v>10.42</v>
      </c>
      <c r="E29" s="11">
        <v>7820</v>
      </c>
      <c r="F29" s="11">
        <v>0</v>
      </c>
      <c r="G29" s="11">
        <v>81484.399999999994</v>
      </c>
      <c r="H29" s="11">
        <v>0.35709999999999997</v>
      </c>
      <c r="I29" s="8" t="s">
        <v>16</v>
      </c>
      <c r="J29" s="26">
        <v>0</v>
      </c>
      <c r="K29" s="26">
        <v>0</v>
      </c>
      <c r="L29" s="26">
        <v>0</v>
      </c>
      <c r="M29" s="26">
        <v>0</v>
      </c>
      <c r="N29" s="25">
        <v>1</v>
      </c>
      <c r="O29" s="25">
        <v>1</v>
      </c>
      <c r="P29" s="11">
        <v>7820</v>
      </c>
      <c r="Q29" s="11">
        <v>0</v>
      </c>
      <c r="R29" s="11">
        <v>7820</v>
      </c>
      <c r="S29" s="11">
        <v>81484.399999999994</v>
      </c>
      <c r="T29" s="7">
        <v>0</v>
      </c>
      <c r="U29" s="11">
        <v>7820</v>
      </c>
      <c r="V29" s="11">
        <v>0</v>
      </c>
      <c r="W29" s="11">
        <v>7820</v>
      </c>
      <c r="X29" s="11">
        <v>81484.399999999994</v>
      </c>
      <c r="Y29" s="7">
        <v>0</v>
      </c>
      <c r="Z29" s="11">
        <v>7820</v>
      </c>
      <c r="AA29" s="11">
        <v>0</v>
      </c>
      <c r="AB29" s="11">
        <v>7820</v>
      </c>
      <c r="AC29" s="11">
        <v>81484.399999999994</v>
      </c>
      <c r="AD29" s="7">
        <v>0</v>
      </c>
      <c r="AE29" s="11">
        <v>7820</v>
      </c>
      <c r="AF29" s="11">
        <v>0</v>
      </c>
      <c r="AG29" s="11">
        <v>7820</v>
      </c>
      <c r="AH29" s="11">
        <v>81484.399999999994</v>
      </c>
      <c r="AI29" s="7">
        <v>0</v>
      </c>
      <c r="AJ29" s="11">
        <v>7820</v>
      </c>
      <c r="AK29" s="11">
        <v>0</v>
      </c>
      <c r="AL29" s="11">
        <v>7820</v>
      </c>
      <c r="AM29" s="11">
        <v>81484.399999999994</v>
      </c>
      <c r="AN29" s="7">
        <v>0</v>
      </c>
      <c r="AO29" s="11">
        <v>7820</v>
      </c>
      <c r="AP29" s="11">
        <v>0</v>
      </c>
      <c r="AQ29" s="11">
        <v>7820</v>
      </c>
      <c r="AR29" s="11">
        <v>81484.399999999994</v>
      </c>
      <c r="AS29" s="7">
        <v>0</v>
      </c>
    </row>
    <row r="30" spans="1:45" x14ac:dyDescent="0.3">
      <c r="A30" s="4" t="s">
        <v>70</v>
      </c>
      <c r="B30" s="4" t="s">
        <v>71</v>
      </c>
      <c r="C30" s="4" t="s">
        <v>15</v>
      </c>
      <c r="D30" s="5">
        <v>3.0499999999999999E-2</v>
      </c>
      <c r="E30" s="6">
        <v>547500</v>
      </c>
      <c r="F30" s="6">
        <v>0</v>
      </c>
      <c r="G30" s="6">
        <v>16698.75</v>
      </c>
      <c r="H30" s="6">
        <v>22.142900000000001</v>
      </c>
      <c r="I30" s="12" t="s">
        <v>53</v>
      </c>
      <c r="J30" s="24">
        <v>0</v>
      </c>
      <c r="K30" s="24">
        <v>0</v>
      </c>
      <c r="L30" s="27">
        <v>1</v>
      </c>
      <c r="M30" s="24">
        <v>0</v>
      </c>
      <c r="N30" s="24">
        <v>0</v>
      </c>
      <c r="O30" s="27">
        <v>1</v>
      </c>
      <c r="P30" s="6">
        <v>547500</v>
      </c>
      <c r="Q30" s="6">
        <v>0</v>
      </c>
      <c r="R30" s="6">
        <v>547500</v>
      </c>
      <c r="S30" s="6">
        <v>16698.75</v>
      </c>
      <c r="T30" s="7">
        <v>0</v>
      </c>
      <c r="U30" s="6">
        <v>547500</v>
      </c>
      <c r="V30" s="6">
        <v>0</v>
      </c>
      <c r="W30" s="6">
        <v>547500</v>
      </c>
      <c r="X30" s="6">
        <v>16698.75</v>
      </c>
      <c r="Y30" s="7">
        <v>0</v>
      </c>
      <c r="Z30" s="6">
        <v>547500</v>
      </c>
      <c r="AA30" s="6">
        <v>0</v>
      </c>
      <c r="AB30" s="6">
        <v>547500</v>
      </c>
      <c r="AC30" s="6">
        <v>16698.75</v>
      </c>
      <c r="AD30" s="7">
        <v>0</v>
      </c>
      <c r="AE30" s="6">
        <v>547500</v>
      </c>
      <c r="AF30" s="6">
        <v>0</v>
      </c>
      <c r="AG30" s="6">
        <v>547500</v>
      </c>
      <c r="AH30" s="6">
        <v>16698.75</v>
      </c>
      <c r="AI30" s="7">
        <v>0</v>
      </c>
      <c r="AJ30" s="6">
        <v>547500</v>
      </c>
      <c r="AK30" s="6">
        <v>0</v>
      </c>
      <c r="AL30" s="6">
        <v>547500</v>
      </c>
      <c r="AM30" s="6">
        <v>16698.75</v>
      </c>
      <c r="AN30" s="7">
        <v>0</v>
      </c>
      <c r="AO30" s="6">
        <v>547500</v>
      </c>
      <c r="AP30" s="6">
        <v>0</v>
      </c>
      <c r="AQ30" s="6">
        <v>547500</v>
      </c>
      <c r="AR30" s="6">
        <v>16698.75</v>
      </c>
      <c r="AS30" s="7">
        <v>0</v>
      </c>
    </row>
    <row r="31" spans="1:45" x14ac:dyDescent="0.3">
      <c r="A31" s="9" t="s">
        <v>72</v>
      </c>
      <c r="B31" s="9" t="s">
        <v>73</v>
      </c>
      <c r="C31" s="9" t="s">
        <v>69</v>
      </c>
      <c r="D31" s="10">
        <v>10.6</v>
      </c>
      <c r="E31" s="11">
        <v>2785</v>
      </c>
      <c r="F31" s="11">
        <v>0</v>
      </c>
      <c r="G31" s="11">
        <v>29521</v>
      </c>
      <c r="H31" s="11">
        <v>0.35709999999999997</v>
      </c>
      <c r="I31" s="8" t="s">
        <v>16</v>
      </c>
      <c r="J31" s="26">
        <v>0</v>
      </c>
      <c r="K31" s="26">
        <v>0</v>
      </c>
      <c r="L31" s="26">
        <v>0</v>
      </c>
      <c r="M31" s="26">
        <v>0</v>
      </c>
      <c r="N31" s="25">
        <v>1</v>
      </c>
      <c r="O31" s="25">
        <v>1</v>
      </c>
      <c r="P31" s="11">
        <v>2785</v>
      </c>
      <c r="Q31" s="11">
        <v>0</v>
      </c>
      <c r="R31" s="11">
        <v>2785</v>
      </c>
      <c r="S31" s="11">
        <v>29521</v>
      </c>
      <c r="T31" s="7">
        <v>0</v>
      </c>
      <c r="U31" s="11">
        <v>2785</v>
      </c>
      <c r="V31" s="11">
        <v>0</v>
      </c>
      <c r="W31" s="11">
        <v>2785</v>
      </c>
      <c r="X31" s="11">
        <v>29521</v>
      </c>
      <c r="Y31" s="7">
        <v>0</v>
      </c>
      <c r="Z31" s="11">
        <v>2785</v>
      </c>
      <c r="AA31" s="11">
        <v>0</v>
      </c>
      <c r="AB31" s="11">
        <v>2785</v>
      </c>
      <c r="AC31" s="11">
        <v>29521</v>
      </c>
      <c r="AD31" s="7">
        <v>0</v>
      </c>
      <c r="AE31" s="11">
        <v>2785</v>
      </c>
      <c r="AF31" s="11">
        <v>0</v>
      </c>
      <c r="AG31" s="11">
        <v>2785</v>
      </c>
      <c r="AH31" s="11">
        <v>29521</v>
      </c>
      <c r="AI31" s="7">
        <v>0</v>
      </c>
      <c r="AJ31" s="11">
        <v>2785</v>
      </c>
      <c r="AK31" s="11">
        <v>0</v>
      </c>
      <c r="AL31" s="11">
        <v>2785</v>
      </c>
      <c r="AM31" s="11">
        <v>29521</v>
      </c>
      <c r="AN31" s="7">
        <v>0</v>
      </c>
      <c r="AO31" s="11">
        <v>2785</v>
      </c>
      <c r="AP31" s="11">
        <v>0</v>
      </c>
      <c r="AQ31" s="11">
        <v>2785</v>
      </c>
      <c r="AR31" s="11">
        <v>29521</v>
      </c>
      <c r="AS31" s="7">
        <v>0</v>
      </c>
    </row>
    <row r="32" spans="1:45" x14ac:dyDescent="0.3">
      <c r="A32" s="4" t="s">
        <v>74</v>
      </c>
      <c r="B32" s="4" t="s">
        <v>75</v>
      </c>
      <c r="C32" s="4" t="s">
        <v>69</v>
      </c>
      <c r="D32" s="5">
        <v>10.62</v>
      </c>
      <c r="E32" s="6">
        <v>1744</v>
      </c>
      <c r="F32" s="6">
        <v>0</v>
      </c>
      <c r="G32" s="6">
        <v>18521.28</v>
      </c>
      <c r="H32" s="6">
        <v>0.35709999999999997</v>
      </c>
      <c r="I32" s="8" t="s">
        <v>16</v>
      </c>
      <c r="J32" s="24">
        <v>0</v>
      </c>
      <c r="K32" s="24">
        <v>0</v>
      </c>
      <c r="L32" s="24">
        <v>0</v>
      </c>
      <c r="M32" s="24">
        <v>0</v>
      </c>
      <c r="N32" s="25">
        <v>1</v>
      </c>
      <c r="O32" s="25">
        <v>1</v>
      </c>
      <c r="P32" s="6">
        <v>1744</v>
      </c>
      <c r="Q32" s="6">
        <v>0</v>
      </c>
      <c r="R32" s="6">
        <v>1744</v>
      </c>
      <c r="S32" s="6">
        <v>18521.28</v>
      </c>
      <c r="T32" s="7">
        <v>0</v>
      </c>
      <c r="U32" s="6">
        <v>1744</v>
      </c>
      <c r="V32" s="6">
        <v>0</v>
      </c>
      <c r="W32" s="6">
        <v>1744</v>
      </c>
      <c r="X32" s="6">
        <v>18521.28</v>
      </c>
      <c r="Y32" s="7">
        <v>0</v>
      </c>
      <c r="Z32" s="6">
        <v>1744</v>
      </c>
      <c r="AA32" s="6">
        <v>0</v>
      </c>
      <c r="AB32" s="6">
        <v>1744</v>
      </c>
      <c r="AC32" s="6">
        <v>18521.28</v>
      </c>
      <c r="AD32" s="7">
        <v>0</v>
      </c>
      <c r="AE32" s="6">
        <v>1744</v>
      </c>
      <c r="AF32" s="6">
        <v>0</v>
      </c>
      <c r="AG32" s="6">
        <v>1744</v>
      </c>
      <c r="AH32" s="6">
        <v>18521.28</v>
      </c>
      <c r="AI32" s="7">
        <v>0</v>
      </c>
      <c r="AJ32" s="6">
        <v>1744</v>
      </c>
      <c r="AK32" s="6">
        <v>0</v>
      </c>
      <c r="AL32" s="6">
        <v>1744</v>
      </c>
      <c r="AM32" s="6">
        <v>18521.28</v>
      </c>
      <c r="AN32" s="7">
        <v>0</v>
      </c>
      <c r="AO32" s="6">
        <v>1744</v>
      </c>
      <c r="AP32" s="6">
        <v>0</v>
      </c>
      <c r="AQ32" s="6">
        <v>1744</v>
      </c>
      <c r="AR32" s="6">
        <v>18521.28</v>
      </c>
      <c r="AS32" s="7">
        <v>0</v>
      </c>
    </row>
    <row r="33" spans="1:45" x14ac:dyDescent="0.3">
      <c r="A33" s="9" t="s">
        <v>76</v>
      </c>
      <c r="B33" s="9" t="s">
        <v>77</v>
      </c>
      <c r="C33" s="9" t="s">
        <v>69</v>
      </c>
      <c r="D33" s="10">
        <v>10.45</v>
      </c>
      <c r="E33" s="11">
        <v>862</v>
      </c>
      <c r="F33" s="11">
        <v>0</v>
      </c>
      <c r="G33" s="11">
        <v>9007.9</v>
      </c>
      <c r="H33" s="11">
        <v>0.35709999999999997</v>
      </c>
      <c r="I33" s="8" t="s">
        <v>16</v>
      </c>
      <c r="J33" s="26">
        <v>0</v>
      </c>
      <c r="K33" s="26">
        <v>0</v>
      </c>
      <c r="L33" s="26">
        <v>0</v>
      </c>
      <c r="M33" s="26">
        <v>0</v>
      </c>
      <c r="N33" s="25">
        <v>1</v>
      </c>
      <c r="O33" s="25">
        <v>1</v>
      </c>
      <c r="P33" s="11">
        <v>862</v>
      </c>
      <c r="Q33" s="11">
        <v>0</v>
      </c>
      <c r="R33" s="11">
        <v>862</v>
      </c>
      <c r="S33" s="11">
        <v>9007.9</v>
      </c>
      <c r="T33" s="7">
        <v>0</v>
      </c>
      <c r="U33" s="11">
        <v>862</v>
      </c>
      <c r="V33" s="11">
        <v>0</v>
      </c>
      <c r="W33" s="11">
        <v>862</v>
      </c>
      <c r="X33" s="11">
        <v>9007.9</v>
      </c>
      <c r="Y33" s="7">
        <v>0</v>
      </c>
      <c r="Z33" s="11">
        <v>862</v>
      </c>
      <c r="AA33" s="11">
        <v>0</v>
      </c>
      <c r="AB33" s="11">
        <v>862</v>
      </c>
      <c r="AC33" s="11">
        <v>9007.9</v>
      </c>
      <c r="AD33" s="7">
        <v>0</v>
      </c>
      <c r="AE33" s="11">
        <v>862</v>
      </c>
      <c r="AF33" s="11">
        <v>0</v>
      </c>
      <c r="AG33" s="11">
        <v>862</v>
      </c>
      <c r="AH33" s="11">
        <v>9007.9</v>
      </c>
      <c r="AI33" s="7">
        <v>0</v>
      </c>
      <c r="AJ33" s="11">
        <v>862</v>
      </c>
      <c r="AK33" s="11">
        <v>0</v>
      </c>
      <c r="AL33" s="11">
        <v>862</v>
      </c>
      <c r="AM33" s="11">
        <v>9007.9</v>
      </c>
      <c r="AN33" s="7">
        <v>0</v>
      </c>
      <c r="AO33" s="11">
        <v>862</v>
      </c>
      <c r="AP33" s="11">
        <v>0</v>
      </c>
      <c r="AQ33" s="11">
        <v>862</v>
      </c>
      <c r="AR33" s="11">
        <v>9007.9</v>
      </c>
      <c r="AS33" s="7">
        <v>0</v>
      </c>
    </row>
    <row r="34" spans="1:45" x14ac:dyDescent="0.3">
      <c r="A34" s="4" t="s">
        <v>78</v>
      </c>
      <c r="B34" s="4" t="s">
        <v>79</v>
      </c>
      <c r="C34" s="4" t="s">
        <v>69</v>
      </c>
      <c r="D34" s="5">
        <v>10.63</v>
      </c>
      <c r="E34" s="6">
        <v>963.14700000000005</v>
      </c>
      <c r="F34" s="6">
        <v>0</v>
      </c>
      <c r="G34" s="6">
        <v>10238.2526</v>
      </c>
      <c r="H34" s="6">
        <v>0.35709999999999997</v>
      </c>
      <c r="I34" s="8" t="s">
        <v>16</v>
      </c>
      <c r="J34" s="24">
        <v>0</v>
      </c>
      <c r="K34" s="24">
        <v>0</v>
      </c>
      <c r="L34" s="24">
        <v>0</v>
      </c>
      <c r="M34" s="24">
        <v>0</v>
      </c>
      <c r="N34" s="25">
        <v>1</v>
      </c>
      <c r="O34" s="25">
        <v>1</v>
      </c>
      <c r="P34" s="6">
        <v>963.14700000000005</v>
      </c>
      <c r="Q34" s="6">
        <v>0</v>
      </c>
      <c r="R34" s="6">
        <v>963.14700000000005</v>
      </c>
      <c r="S34" s="6">
        <v>10238.2526</v>
      </c>
      <c r="T34" s="7">
        <v>0</v>
      </c>
      <c r="U34" s="6">
        <v>963.14700000000005</v>
      </c>
      <c r="V34" s="6">
        <v>0</v>
      </c>
      <c r="W34" s="6">
        <v>963.14700000000005</v>
      </c>
      <c r="X34" s="6">
        <v>10238.2526</v>
      </c>
      <c r="Y34" s="7">
        <v>0</v>
      </c>
      <c r="Z34" s="6">
        <v>963.14700000000005</v>
      </c>
      <c r="AA34" s="6">
        <v>0</v>
      </c>
      <c r="AB34" s="6">
        <v>963.14700000000005</v>
      </c>
      <c r="AC34" s="6">
        <v>10238.2526</v>
      </c>
      <c r="AD34" s="7">
        <v>0</v>
      </c>
      <c r="AE34" s="6">
        <v>963.14700000000005</v>
      </c>
      <c r="AF34" s="6">
        <v>0</v>
      </c>
      <c r="AG34" s="6">
        <v>963.14700000000005</v>
      </c>
      <c r="AH34" s="6">
        <v>10238.2526</v>
      </c>
      <c r="AI34" s="7">
        <v>0</v>
      </c>
      <c r="AJ34" s="6">
        <v>963.14700000000005</v>
      </c>
      <c r="AK34" s="6">
        <v>0</v>
      </c>
      <c r="AL34" s="6">
        <v>963.14700000000005</v>
      </c>
      <c r="AM34" s="6">
        <v>10238.2526</v>
      </c>
      <c r="AN34" s="7">
        <v>0</v>
      </c>
      <c r="AO34" s="6">
        <v>963.14700000000005</v>
      </c>
      <c r="AP34" s="6">
        <v>0</v>
      </c>
      <c r="AQ34" s="6">
        <v>963.14700000000005</v>
      </c>
      <c r="AR34" s="6">
        <v>10238.2526</v>
      </c>
      <c r="AS34" s="7">
        <v>0</v>
      </c>
    </row>
    <row r="35" spans="1:45" x14ac:dyDescent="0.3">
      <c r="A35" s="9" t="s">
        <v>80</v>
      </c>
      <c r="B35" s="9" t="s">
        <v>81</v>
      </c>
      <c r="C35" s="9" t="s">
        <v>69</v>
      </c>
      <c r="D35" s="10">
        <v>10.58</v>
      </c>
      <c r="E35" s="11">
        <v>842.14</v>
      </c>
      <c r="F35" s="11">
        <v>0</v>
      </c>
      <c r="G35" s="11">
        <v>8909.8412000000008</v>
      </c>
      <c r="H35" s="11">
        <v>0.35709999999999997</v>
      </c>
      <c r="I35" s="8" t="s">
        <v>16</v>
      </c>
      <c r="J35" s="26">
        <v>0</v>
      </c>
      <c r="K35" s="26">
        <v>0</v>
      </c>
      <c r="L35" s="26">
        <v>0</v>
      </c>
      <c r="M35" s="26">
        <v>0</v>
      </c>
      <c r="N35" s="25">
        <v>1</v>
      </c>
      <c r="O35" s="25">
        <v>1</v>
      </c>
      <c r="P35" s="11">
        <v>842.14</v>
      </c>
      <c r="Q35" s="11">
        <v>0</v>
      </c>
      <c r="R35" s="11">
        <v>842.14</v>
      </c>
      <c r="S35" s="11">
        <v>8909.8412000000008</v>
      </c>
      <c r="T35" s="7">
        <v>0</v>
      </c>
      <c r="U35" s="11">
        <v>842.14</v>
      </c>
      <c r="V35" s="11">
        <v>0</v>
      </c>
      <c r="W35" s="11">
        <v>842.14</v>
      </c>
      <c r="X35" s="11">
        <v>8909.8412000000008</v>
      </c>
      <c r="Y35" s="7">
        <v>0</v>
      </c>
      <c r="Z35" s="11">
        <v>842.14</v>
      </c>
      <c r="AA35" s="11">
        <v>0</v>
      </c>
      <c r="AB35" s="11">
        <v>842.14</v>
      </c>
      <c r="AC35" s="11">
        <v>8909.8412000000008</v>
      </c>
      <c r="AD35" s="7">
        <v>0</v>
      </c>
      <c r="AE35" s="11">
        <v>842.14</v>
      </c>
      <c r="AF35" s="11">
        <v>0</v>
      </c>
      <c r="AG35" s="11">
        <v>842.14</v>
      </c>
      <c r="AH35" s="11">
        <v>8909.8412000000008</v>
      </c>
      <c r="AI35" s="7">
        <v>0</v>
      </c>
      <c r="AJ35" s="11">
        <v>842.14</v>
      </c>
      <c r="AK35" s="11">
        <v>0</v>
      </c>
      <c r="AL35" s="11">
        <v>842.14</v>
      </c>
      <c r="AM35" s="11">
        <v>8909.8412000000008</v>
      </c>
      <c r="AN35" s="7">
        <v>0</v>
      </c>
      <c r="AO35" s="11">
        <v>842.14</v>
      </c>
      <c r="AP35" s="11">
        <v>0</v>
      </c>
      <c r="AQ35" s="11">
        <v>842.14</v>
      </c>
      <c r="AR35" s="11">
        <v>8909.8412000000008</v>
      </c>
      <c r="AS35" s="7">
        <v>0</v>
      </c>
    </row>
    <row r="36" spans="1:45" x14ac:dyDescent="0.3">
      <c r="A36" s="4" t="s">
        <v>82</v>
      </c>
      <c r="B36" s="4" t="s">
        <v>83</v>
      </c>
      <c r="C36" s="4" t="s">
        <v>69</v>
      </c>
      <c r="D36" s="5">
        <v>10.55</v>
      </c>
      <c r="E36" s="6">
        <v>412</v>
      </c>
      <c r="F36" s="6">
        <v>0</v>
      </c>
      <c r="G36" s="6">
        <v>4346.6000000000004</v>
      </c>
      <c r="H36" s="6">
        <v>0.35709999999999997</v>
      </c>
      <c r="I36" s="8" t="s">
        <v>16</v>
      </c>
      <c r="J36" s="24">
        <v>0</v>
      </c>
      <c r="K36" s="24">
        <v>0</v>
      </c>
      <c r="L36" s="24">
        <v>0</v>
      </c>
      <c r="M36" s="24">
        <v>0</v>
      </c>
      <c r="N36" s="25">
        <v>1</v>
      </c>
      <c r="O36" s="25">
        <v>1</v>
      </c>
      <c r="P36" s="6">
        <v>412</v>
      </c>
      <c r="Q36" s="6">
        <v>0</v>
      </c>
      <c r="R36" s="6">
        <v>412</v>
      </c>
      <c r="S36" s="6">
        <v>4346.6000000000004</v>
      </c>
      <c r="T36" s="7">
        <v>0</v>
      </c>
      <c r="U36" s="6">
        <v>412</v>
      </c>
      <c r="V36" s="6">
        <v>0</v>
      </c>
      <c r="W36" s="6">
        <v>412</v>
      </c>
      <c r="X36" s="6">
        <v>4346.6000000000004</v>
      </c>
      <c r="Y36" s="7">
        <v>0</v>
      </c>
      <c r="Z36" s="6">
        <v>412</v>
      </c>
      <c r="AA36" s="6">
        <v>0</v>
      </c>
      <c r="AB36" s="6">
        <v>412</v>
      </c>
      <c r="AC36" s="6">
        <v>4346.6000000000004</v>
      </c>
      <c r="AD36" s="7">
        <v>0</v>
      </c>
      <c r="AE36" s="6">
        <v>412</v>
      </c>
      <c r="AF36" s="6">
        <v>0</v>
      </c>
      <c r="AG36" s="6">
        <v>412</v>
      </c>
      <c r="AH36" s="6">
        <v>4346.6000000000004</v>
      </c>
      <c r="AI36" s="7">
        <v>0</v>
      </c>
      <c r="AJ36" s="6">
        <v>412</v>
      </c>
      <c r="AK36" s="6">
        <v>0</v>
      </c>
      <c r="AL36" s="6">
        <v>412</v>
      </c>
      <c r="AM36" s="6">
        <v>4346.6000000000004</v>
      </c>
      <c r="AN36" s="7">
        <v>0</v>
      </c>
      <c r="AO36" s="6">
        <v>412</v>
      </c>
      <c r="AP36" s="6">
        <v>0</v>
      </c>
      <c r="AQ36" s="6">
        <v>412</v>
      </c>
      <c r="AR36" s="6">
        <v>4346.6000000000004</v>
      </c>
      <c r="AS36" s="7">
        <v>0</v>
      </c>
    </row>
    <row r="37" spans="1:45" x14ac:dyDescent="0.3">
      <c r="A37" s="9" t="s">
        <v>84</v>
      </c>
      <c r="B37" s="9" t="s">
        <v>85</v>
      </c>
      <c r="C37" s="9" t="s">
        <v>69</v>
      </c>
      <c r="D37" s="10">
        <v>10.31</v>
      </c>
      <c r="E37" s="11">
        <v>231</v>
      </c>
      <c r="F37" s="11">
        <v>0</v>
      </c>
      <c r="G37" s="11">
        <v>2381.61</v>
      </c>
      <c r="H37" s="11">
        <v>0.35709999999999997</v>
      </c>
      <c r="I37" s="8" t="s">
        <v>16</v>
      </c>
      <c r="J37" s="26">
        <v>0</v>
      </c>
      <c r="K37" s="26">
        <v>0</v>
      </c>
      <c r="L37" s="26">
        <v>0</v>
      </c>
      <c r="M37" s="26">
        <v>0</v>
      </c>
      <c r="N37" s="25">
        <v>1</v>
      </c>
      <c r="O37" s="25">
        <v>1</v>
      </c>
      <c r="P37" s="11">
        <v>231</v>
      </c>
      <c r="Q37" s="11">
        <v>0</v>
      </c>
      <c r="R37" s="11">
        <v>231</v>
      </c>
      <c r="S37" s="11">
        <v>2381.61</v>
      </c>
      <c r="T37" s="7">
        <v>0</v>
      </c>
      <c r="U37" s="11">
        <v>231</v>
      </c>
      <c r="V37" s="11">
        <v>0</v>
      </c>
      <c r="W37" s="11">
        <v>231</v>
      </c>
      <c r="X37" s="11">
        <v>2381.61</v>
      </c>
      <c r="Y37" s="7">
        <v>0</v>
      </c>
      <c r="Z37" s="11">
        <v>231</v>
      </c>
      <c r="AA37" s="11">
        <v>0</v>
      </c>
      <c r="AB37" s="11">
        <v>231</v>
      </c>
      <c r="AC37" s="11">
        <v>2381.61</v>
      </c>
      <c r="AD37" s="7">
        <v>0</v>
      </c>
      <c r="AE37" s="11">
        <v>231</v>
      </c>
      <c r="AF37" s="11">
        <v>0</v>
      </c>
      <c r="AG37" s="11">
        <v>231</v>
      </c>
      <c r="AH37" s="11">
        <v>2381.61</v>
      </c>
      <c r="AI37" s="7">
        <v>0</v>
      </c>
      <c r="AJ37" s="11">
        <v>231</v>
      </c>
      <c r="AK37" s="11">
        <v>0</v>
      </c>
      <c r="AL37" s="11">
        <v>231</v>
      </c>
      <c r="AM37" s="11">
        <v>2381.61</v>
      </c>
      <c r="AN37" s="7">
        <v>0</v>
      </c>
      <c r="AO37" s="11">
        <v>231</v>
      </c>
      <c r="AP37" s="11">
        <v>0</v>
      </c>
      <c r="AQ37" s="11">
        <v>231</v>
      </c>
      <c r="AR37" s="11">
        <v>2381.61</v>
      </c>
      <c r="AS37" s="7">
        <v>0</v>
      </c>
    </row>
    <row r="38" spans="1:45" x14ac:dyDescent="0.3">
      <c r="A38" s="4" t="s">
        <v>86</v>
      </c>
      <c r="B38" s="4" t="s">
        <v>87</v>
      </c>
      <c r="C38" s="4" t="s">
        <v>69</v>
      </c>
      <c r="D38" s="5">
        <v>11.25</v>
      </c>
      <c r="E38" s="6">
        <v>1063</v>
      </c>
      <c r="F38" s="6">
        <v>0</v>
      </c>
      <c r="G38" s="6">
        <v>11958.75</v>
      </c>
      <c r="H38" s="6">
        <v>0.35709999999999997</v>
      </c>
      <c r="I38" s="8" t="s">
        <v>16</v>
      </c>
      <c r="J38" s="24">
        <v>0</v>
      </c>
      <c r="K38" s="24">
        <v>0</v>
      </c>
      <c r="L38" s="24">
        <v>0</v>
      </c>
      <c r="M38" s="24">
        <v>0</v>
      </c>
      <c r="N38" s="25">
        <v>1</v>
      </c>
      <c r="O38" s="25">
        <v>1</v>
      </c>
      <c r="P38" s="6">
        <v>1063</v>
      </c>
      <c r="Q38" s="6">
        <v>0</v>
      </c>
      <c r="R38" s="6">
        <v>1063</v>
      </c>
      <c r="S38" s="6">
        <v>11958.75</v>
      </c>
      <c r="T38" s="7">
        <v>0</v>
      </c>
      <c r="U38" s="6">
        <v>1063</v>
      </c>
      <c r="V38" s="6">
        <v>0</v>
      </c>
      <c r="W38" s="6">
        <v>1063</v>
      </c>
      <c r="X38" s="6">
        <v>11958.75</v>
      </c>
      <c r="Y38" s="7">
        <v>0</v>
      </c>
      <c r="Z38" s="6">
        <v>1063</v>
      </c>
      <c r="AA38" s="6">
        <v>0</v>
      </c>
      <c r="AB38" s="6">
        <v>1063</v>
      </c>
      <c r="AC38" s="6">
        <v>11958.75</v>
      </c>
      <c r="AD38" s="7">
        <v>0</v>
      </c>
      <c r="AE38" s="6">
        <v>1063</v>
      </c>
      <c r="AF38" s="6">
        <v>0</v>
      </c>
      <c r="AG38" s="6">
        <v>1063</v>
      </c>
      <c r="AH38" s="6">
        <v>11958.75</v>
      </c>
      <c r="AI38" s="7">
        <v>0</v>
      </c>
      <c r="AJ38" s="6">
        <v>1063</v>
      </c>
      <c r="AK38" s="6">
        <v>0</v>
      </c>
      <c r="AL38" s="6">
        <v>1063</v>
      </c>
      <c r="AM38" s="6">
        <v>11958.75</v>
      </c>
      <c r="AN38" s="7">
        <v>0</v>
      </c>
      <c r="AO38" s="6">
        <v>1063</v>
      </c>
      <c r="AP38" s="6">
        <v>0</v>
      </c>
      <c r="AQ38" s="6">
        <v>1063</v>
      </c>
      <c r="AR38" s="6">
        <v>11958.75</v>
      </c>
      <c r="AS38" s="7">
        <v>0</v>
      </c>
    </row>
    <row r="39" spans="1:45" x14ac:dyDescent="0.3">
      <c r="A39" s="9" t="s">
        <v>88</v>
      </c>
      <c r="B39" s="9" t="s">
        <v>89</v>
      </c>
      <c r="C39" s="9" t="s">
        <v>69</v>
      </c>
      <c r="D39" s="10">
        <v>10.64</v>
      </c>
      <c r="E39" s="11">
        <v>1256</v>
      </c>
      <c r="F39" s="11">
        <v>92.26</v>
      </c>
      <c r="G39" s="11">
        <v>13363.84</v>
      </c>
      <c r="H39" s="11">
        <v>0.35709999999999997</v>
      </c>
      <c r="I39" s="8" t="s">
        <v>16</v>
      </c>
      <c r="J39" s="26">
        <v>0</v>
      </c>
      <c r="K39" s="26">
        <v>0</v>
      </c>
      <c r="L39" s="26">
        <v>0</v>
      </c>
      <c r="M39" s="26">
        <v>0</v>
      </c>
      <c r="N39" s="25">
        <v>1</v>
      </c>
      <c r="O39" s="25">
        <v>1</v>
      </c>
      <c r="P39" s="11">
        <v>1256</v>
      </c>
      <c r="Q39" s="11">
        <v>15.2128</v>
      </c>
      <c r="R39" s="11">
        <v>1240.7872</v>
      </c>
      <c r="S39" s="11">
        <v>13201.9758</v>
      </c>
      <c r="T39" s="7">
        <v>-1.07</v>
      </c>
      <c r="U39" s="11">
        <v>1240.7872</v>
      </c>
      <c r="V39" s="11">
        <v>15.4094</v>
      </c>
      <c r="W39" s="11">
        <v>1225.3778</v>
      </c>
      <c r="X39" s="11">
        <v>13038.0198</v>
      </c>
      <c r="Y39" s="7">
        <v>0.21</v>
      </c>
      <c r="Z39" s="11">
        <v>1225.3778</v>
      </c>
      <c r="AA39" s="11">
        <v>15.5078</v>
      </c>
      <c r="AB39" s="11">
        <v>1209.8699999999999</v>
      </c>
      <c r="AC39" s="11">
        <v>12873.016799999999</v>
      </c>
      <c r="AD39" s="7">
        <v>0.85</v>
      </c>
      <c r="AE39" s="11">
        <v>1209.8699999999999</v>
      </c>
      <c r="AF39" s="11">
        <v>15.5078</v>
      </c>
      <c r="AG39" s="11">
        <v>1194.3622</v>
      </c>
      <c r="AH39" s="11">
        <v>12708.013800000001</v>
      </c>
      <c r="AI39" s="7">
        <v>0.85</v>
      </c>
      <c r="AJ39" s="11">
        <v>1194.3622</v>
      </c>
      <c r="AK39" s="11">
        <v>15.4094</v>
      </c>
      <c r="AL39" s="11">
        <v>1178.9528</v>
      </c>
      <c r="AM39" s="11">
        <v>12544.0578</v>
      </c>
      <c r="AN39" s="7">
        <v>0.21</v>
      </c>
      <c r="AO39" s="11">
        <v>1178.9528</v>
      </c>
      <c r="AP39" s="11">
        <v>15.2128</v>
      </c>
      <c r="AQ39" s="11">
        <v>1163.74</v>
      </c>
      <c r="AR39" s="11">
        <v>12382.193600000001</v>
      </c>
      <c r="AS39" s="7">
        <v>-1.07</v>
      </c>
    </row>
    <row r="40" spans="1:45" x14ac:dyDescent="0.3">
      <c r="A40" s="4" t="s">
        <v>90</v>
      </c>
      <c r="B40" s="4" t="s">
        <v>91</v>
      </c>
      <c r="C40" s="4" t="s">
        <v>69</v>
      </c>
      <c r="D40" s="5">
        <v>10.55</v>
      </c>
      <c r="E40" s="6">
        <v>1645.14</v>
      </c>
      <c r="F40" s="6">
        <v>0</v>
      </c>
      <c r="G40" s="6">
        <v>17356.226999999999</v>
      </c>
      <c r="H40" s="6">
        <v>0.35709999999999997</v>
      </c>
      <c r="I40" s="8" t="s">
        <v>16</v>
      </c>
      <c r="J40" s="24">
        <v>0</v>
      </c>
      <c r="K40" s="24">
        <v>0</v>
      </c>
      <c r="L40" s="24">
        <v>0</v>
      </c>
      <c r="M40" s="24">
        <v>0</v>
      </c>
      <c r="N40" s="25">
        <v>1</v>
      </c>
      <c r="O40" s="25">
        <v>1</v>
      </c>
      <c r="P40" s="6">
        <v>1645.14</v>
      </c>
      <c r="Q40" s="6">
        <v>0</v>
      </c>
      <c r="R40" s="6">
        <v>1645.14</v>
      </c>
      <c r="S40" s="6">
        <v>17356.226999999999</v>
      </c>
      <c r="T40" s="7">
        <v>0</v>
      </c>
      <c r="U40" s="6">
        <v>1645.14</v>
      </c>
      <c r="V40" s="6">
        <v>0</v>
      </c>
      <c r="W40" s="6">
        <v>1645.14</v>
      </c>
      <c r="X40" s="6">
        <v>17356.226999999999</v>
      </c>
      <c r="Y40" s="7">
        <v>0</v>
      </c>
      <c r="Z40" s="6">
        <v>1645.14</v>
      </c>
      <c r="AA40" s="6">
        <v>0</v>
      </c>
      <c r="AB40" s="6">
        <v>1645.14</v>
      </c>
      <c r="AC40" s="6">
        <v>17356.226999999999</v>
      </c>
      <c r="AD40" s="7">
        <v>0</v>
      </c>
      <c r="AE40" s="6">
        <v>1645.14</v>
      </c>
      <c r="AF40" s="6">
        <v>0</v>
      </c>
      <c r="AG40" s="6">
        <v>1645.14</v>
      </c>
      <c r="AH40" s="6">
        <v>17356.226999999999</v>
      </c>
      <c r="AI40" s="7">
        <v>0</v>
      </c>
      <c r="AJ40" s="6">
        <v>1645.14</v>
      </c>
      <c r="AK40" s="6">
        <v>0</v>
      </c>
      <c r="AL40" s="6">
        <v>1645.14</v>
      </c>
      <c r="AM40" s="6">
        <v>17356.226999999999</v>
      </c>
      <c r="AN40" s="7">
        <v>0</v>
      </c>
      <c r="AO40" s="6">
        <v>1645.14</v>
      </c>
      <c r="AP40" s="6">
        <v>0</v>
      </c>
      <c r="AQ40" s="6">
        <v>1645.14</v>
      </c>
      <c r="AR40" s="6">
        <v>17356.226999999999</v>
      </c>
      <c r="AS40" s="7">
        <v>0</v>
      </c>
    </row>
    <row r="41" spans="1:45" x14ac:dyDescent="0.3">
      <c r="A41" s="9" t="s">
        <v>92</v>
      </c>
      <c r="B41" s="9" t="s">
        <v>93</v>
      </c>
      <c r="C41" s="9" t="s">
        <v>69</v>
      </c>
      <c r="D41" s="10">
        <v>13.5</v>
      </c>
      <c r="E41" s="11">
        <v>48</v>
      </c>
      <c r="F41" s="11">
        <v>0</v>
      </c>
      <c r="G41" s="11">
        <v>648</v>
      </c>
      <c r="H41" s="11">
        <v>0.35709999999999997</v>
      </c>
      <c r="I41" s="12" t="s">
        <v>53</v>
      </c>
      <c r="J41" s="26">
        <v>0</v>
      </c>
      <c r="K41" s="26">
        <v>0</v>
      </c>
      <c r="L41" s="27">
        <v>1</v>
      </c>
      <c r="M41" s="26">
        <v>0</v>
      </c>
      <c r="N41" s="26">
        <v>0</v>
      </c>
      <c r="O41" s="27">
        <v>1</v>
      </c>
      <c r="P41" s="11">
        <v>48</v>
      </c>
      <c r="Q41" s="11">
        <v>0</v>
      </c>
      <c r="R41" s="11">
        <v>48</v>
      </c>
      <c r="S41" s="11">
        <v>648</v>
      </c>
      <c r="T41" s="7">
        <v>0</v>
      </c>
      <c r="U41" s="11">
        <v>48</v>
      </c>
      <c r="V41" s="11">
        <v>0</v>
      </c>
      <c r="W41" s="11">
        <v>48</v>
      </c>
      <c r="X41" s="11">
        <v>648</v>
      </c>
      <c r="Y41" s="7">
        <v>0</v>
      </c>
      <c r="Z41" s="11">
        <v>48</v>
      </c>
      <c r="AA41" s="11">
        <v>0</v>
      </c>
      <c r="AB41" s="11">
        <v>48</v>
      </c>
      <c r="AC41" s="11">
        <v>648</v>
      </c>
      <c r="AD41" s="7">
        <v>0</v>
      </c>
      <c r="AE41" s="11">
        <v>48</v>
      </c>
      <c r="AF41" s="11">
        <v>0</v>
      </c>
      <c r="AG41" s="11">
        <v>48</v>
      </c>
      <c r="AH41" s="11">
        <v>648</v>
      </c>
      <c r="AI41" s="7">
        <v>0</v>
      </c>
      <c r="AJ41" s="11">
        <v>48</v>
      </c>
      <c r="AK41" s="11">
        <v>0</v>
      </c>
      <c r="AL41" s="11">
        <v>48</v>
      </c>
      <c r="AM41" s="11">
        <v>648</v>
      </c>
      <c r="AN41" s="7">
        <v>0</v>
      </c>
      <c r="AO41" s="11">
        <v>48</v>
      </c>
      <c r="AP41" s="11">
        <v>0</v>
      </c>
      <c r="AQ41" s="11">
        <v>48</v>
      </c>
      <c r="AR41" s="11">
        <v>648</v>
      </c>
      <c r="AS41" s="7">
        <v>0</v>
      </c>
    </row>
    <row r="42" spans="1:45" x14ac:dyDescent="0.3">
      <c r="A42" s="4" t="s">
        <v>94</v>
      </c>
      <c r="B42" s="4" t="s">
        <v>95</v>
      </c>
      <c r="C42" s="4" t="s">
        <v>69</v>
      </c>
      <c r="D42" s="5">
        <v>12</v>
      </c>
      <c r="E42" s="6">
        <v>0.28000000000000003</v>
      </c>
      <c r="F42" s="6">
        <v>0.28000000000000003</v>
      </c>
      <c r="G42" s="6">
        <v>3.36</v>
      </c>
      <c r="H42" s="6">
        <v>0.35709999999999997</v>
      </c>
      <c r="I42" s="12" t="s">
        <v>53</v>
      </c>
      <c r="J42" s="24">
        <v>0</v>
      </c>
      <c r="K42" s="24">
        <v>0</v>
      </c>
      <c r="L42" s="27">
        <v>1</v>
      </c>
      <c r="M42" s="27">
        <v>1</v>
      </c>
      <c r="N42" s="24">
        <v>0</v>
      </c>
      <c r="O42" s="24">
        <v>2</v>
      </c>
      <c r="P42" s="6">
        <v>0.28000000000000003</v>
      </c>
      <c r="Q42" s="6">
        <v>4.6199999999999998E-2</v>
      </c>
      <c r="R42" s="6">
        <v>0.23380000000000001</v>
      </c>
      <c r="S42" s="6">
        <v>2.8056000000000001</v>
      </c>
      <c r="T42" s="7">
        <v>-1</v>
      </c>
      <c r="U42" s="6">
        <v>0.23380000000000001</v>
      </c>
      <c r="V42" s="6">
        <v>4.6699999999999998E-2</v>
      </c>
      <c r="W42" s="6">
        <v>0.18709999999999999</v>
      </c>
      <c r="X42" s="6">
        <v>2.2452000000000001</v>
      </c>
      <c r="Y42" s="7">
        <v>7.0000000000000007E-2</v>
      </c>
      <c r="Z42" s="6">
        <v>0.18709999999999999</v>
      </c>
      <c r="AA42" s="6">
        <v>4.7100000000000003E-2</v>
      </c>
      <c r="AB42" s="6">
        <v>0.14000000000000001</v>
      </c>
      <c r="AC42" s="6">
        <v>1.68</v>
      </c>
      <c r="AD42" s="7">
        <v>0.93</v>
      </c>
      <c r="AE42" s="6">
        <v>0.14000000000000001</v>
      </c>
      <c r="AF42" s="6">
        <v>4.7100000000000003E-2</v>
      </c>
      <c r="AG42" s="6">
        <v>9.2899999999999996E-2</v>
      </c>
      <c r="AH42" s="6">
        <v>1.1148</v>
      </c>
      <c r="AI42" s="7">
        <v>0.93</v>
      </c>
      <c r="AJ42" s="6">
        <v>9.2899999999999996E-2</v>
      </c>
      <c r="AK42" s="6">
        <v>4.6699999999999998E-2</v>
      </c>
      <c r="AL42" s="6">
        <v>4.6199999999999998E-2</v>
      </c>
      <c r="AM42" s="6">
        <v>0.5544</v>
      </c>
      <c r="AN42" s="7">
        <v>7.0000000000000007E-2</v>
      </c>
      <c r="AO42" s="6">
        <v>4.6199999999999998E-2</v>
      </c>
      <c r="AP42" s="6">
        <v>4.6199999999999998E-2</v>
      </c>
      <c r="AQ42" s="6">
        <v>0</v>
      </c>
      <c r="AR42" s="6">
        <v>0</v>
      </c>
      <c r="AS42" s="7">
        <v>-1</v>
      </c>
    </row>
    <row r="43" spans="1:45" x14ac:dyDescent="0.3">
      <c r="A43" s="9" t="s">
        <v>96</v>
      </c>
      <c r="B43" s="9" t="s">
        <v>97</v>
      </c>
      <c r="C43" s="9" t="s">
        <v>69</v>
      </c>
      <c r="D43" s="10">
        <v>10.2745</v>
      </c>
      <c r="E43" s="11">
        <v>70.41</v>
      </c>
      <c r="F43" s="11">
        <v>0</v>
      </c>
      <c r="G43" s="11">
        <v>723.42750000000001</v>
      </c>
      <c r="H43" s="11">
        <v>0.35709999999999997</v>
      </c>
      <c r="I43" s="8" t="s">
        <v>16</v>
      </c>
      <c r="J43" s="26">
        <v>0</v>
      </c>
      <c r="K43" s="26">
        <v>0</v>
      </c>
      <c r="L43" s="26">
        <v>0</v>
      </c>
      <c r="M43" s="26">
        <v>0</v>
      </c>
      <c r="N43" s="25">
        <v>1</v>
      </c>
      <c r="O43" s="25">
        <v>1</v>
      </c>
      <c r="P43" s="11">
        <v>70.41</v>
      </c>
      <c r="Q43" s="11">
        <v>0</v>
      </c>
      <c r="R43" s="11">
        <v>70.41</v>
      </c>
      <c r="S43" s="11">
        <v>723.42750000000001</v>
      </c>
      <c r="T43" s="7">
        <v>0</v>
      </c>
      <c r="U43" s="11">
        <v>70.41</v>
      </c>
      <c r="V43" s="11">
        <v>0</v>
      </c>
      <c r="W43" s="11">
        <v>70.41</v>
      </c>
      <c r="X43" s="11">
        <v>723.42750000000001</v>
      </c>
      <c r="Y43" s="7">
        <v>0</v>
      </c>
      <c r="Z43" s="11">
        <v>70.41</v>
      </c>
      <c r="AA43" s="11">
        <v>0</v>
      </c>
      <c r="AB43" s="11">
        <v>70.41</v>
      </c>
      <c r="AC43" s="11">
        <v>723.42750000000001</v>
      </c>
      <c r="AD43" s="7">
        <v>0</v>
      </c>
      <c r="AE43" s="11">
        <v>70.41</v>
      </c>
      <c r="AF43" s="11">
        <v>0</v>
      </c>
      <c r="AG43" s="11">
        <v>70.41</v>
      </c>
      <c r="AH43" s="11">
        <v>723.42750000000001</v>
      </c>
      <c r="AI43" s="7">
        <v>0</v>
      </c>
      <c r="AJ43" s="11">
        <v>70.41</v>
      </c>
      <c r="AK43" s="11">
        <v>0</v>
      </c>
      <c r="AL43" s="11">
        <v>70.41</v>
      </c>
      <c r="AM43" s="11">
        <v>723.42750000000001</v>
      </c>
      <c r="AN43" s="7">
        <v>0</v>
      </c>
      <c r="AO43" s="11">
        <v>70.41</v>
      </c>
      <c r="AP43" s="11">
        <v>0</v>
      </c>
      <c r="AQ43" s="11">
        <v>70.41</v>
      </c>
      <c r="AR43" s="11">
        <v>723.42750000000001</v>
      </c>
      <c r="AS43" s="7">
        <v>0</v>
      </c>
    </row>
    <row r="44" spans="1:45" x14ac:dyDescent="0.3">
      <c r="A44" s="4" t="s">
        <v>98</v>
      </c>
      <c r="B44" s="4" t="s">
        <v>99</v>
      </c>
      <c r="C44" s="4" t="s">
        <v>100</v>
      </c>
      <c r="D44" s="5">
        <v>10.31</v>
      </c>
      <c r="E44" s="6">
        <v>597.70000000000005</v>
      </c>
      <c r="F44" s="6">
        <v>597.70000000000005</v>
      </c>
      <c r="G44" s="6">
        <v>6162.2870000000003</v>
      </c>
      <c r="H44" s="6">
        <v>3.5</v>
      </c>
      <c r="I44" s="12" t="s">
        <v>53</v>
      </c>
      <c r="J44" s="24">
        <v>0</v>
      </c>
      <c r="K44" s="24">
        <v>0</v>
      </c>
      <c r="L44" s="27">
        <v>1</v>
      </c>
      <c r="M44" s="24">
        <v>0</v>
      </c>
      <c r="N44" s="24">
        <v>0</v>
      </c>
      <c r="O44" s="27">
        <v>1</v>
      </c>
      <c r="P44" s="6">
        <v>597.70000000000005</v>
      </c>
      <c r="Q44" s="6">
        <v>98.5548</v>
      </c>
      <c r="R44" s="6">
        <v>499.14519999999999</v>
      </c>
      <c r="S44" s="6">
        <v>5146.1869999999999</v>
      </c>
      <c r="T44" s="7">
        <v>-1.07</v>
      </c>
      <c r="U44" s="6">
        <v>499.14519999999999</v>
      </c>
      <c r="V44" s="6">
        <v>99.828999999999994</v>
      </c>
      <c r="W44" s="6">
        <v>399.31619999999998</v>
      </c>
      <c r="X44" s="6">
        <v>4116.95</v>
      </c>
      <c r="Y44" s="7">
        <v>0.21</v>
      </c>
      <c r="Z44" s="6">
        <v>399.31619999999998</v>
      </c>
      <c r="AA44" s="6">
        <v>100.4662</v>
      </c>
      <c r="AB44" s="6">
        <v>298.85000000000002</v>
      </c>
      <c r="AC44" s="6">
        <v>3081.1435000000001</v>
      </c>
      <c r="AD44" s="7">
        <v>0.85</v>
      </c>
      <c r="AE44" s="6">
        <v>298.85000000000002</v>
      </c>
      <c r="AF44" s="6">
        <v>100.4662</v>
      </c>
      <c r="AG44" s="6">
        <v>198.38380000000001</v>
      </c>
      <c r="AH44" s="6">
        <v>2045.337</v>
      </c>
      <c r="AI44" s="7">
        <v>0.85</v>
      </c>
      <c r="AJ44" s="6">
        <v>198.38380000000001</v>
      </c>
      <c r="AK44" s="6">
        <v>99.828999999999994</v>
      </c>
      <c r="AL44" s="6">
        <v>98.5548</v>
      </c>
      <c r="AM44" s="6">
        <v>1016.1</v>
      </c>
      <c r="AN44" s="7">
        <v>0.21</v>
      </c>
      <c r="AO44" s="6">
        <v>98.5548</v>
      </c>
      <c r="AP44" s="6">
        <v>98.5548</v>
      </c>
      <c r="AQ44" s="6">
        <v>0</v>
      </c>
      <c r="AR44" s="6">
        <v>0</v>
      </c>
      <c r="AS44" s="7">
        <v>-1.07</v>
      </c>
    </row>
    <row r="45" spans="1:45" x14ac:dyDescent="0.3">
      <c r="A45" s="9" t="s">
        <v>101</v>
      </c>
      <c r="B45" s="9" t="s">
        <v>102</v>
      </c>
      <c r="C45" s="9" t="s">
        <v>69</v>
      </c>
      <c r="D45" s="10">
        <v>10.307700000000001</v>
      </c>
      <c r="E45" s="11">
        <v>273</v>
      </c>
      <c r="F45" s="11">
        <v>0</v>
      </c>
      <c r="G45" s="11">
        <v>2814.0021000000002</v>
      </c>
      <c r="H45" s="11">
        <v>0.35709999999999997</v>
      </c>
      <c r="I45" s="12" t="s">
        <v>53</v>
      </c>
      <c r="J45" s="26">
        <v>0</v>
      </c>
      <c r="K45" s="26">
        <v>0</v>
      </c>
      <c r="L45" s="27">
        <v>1</v>
      </c>
      <c r="M45" s="26">
        <v>0</v>
      </c>
      <c r="N45" s="26">
        <v>0</v>
      </c>
      <c r="O45" s="27">
        <v>1</v>
      </c>
      <c r="P45" s="11">
        <v>273</v>
      </c>
      <c r="Q45" s="11">
        <v>0</v>
      </c>
      <c r="R45" s="11">
        <v>273</v>
      </c>
      <c r="S45" s="11">
        <v>2814.0021000000002</v>
      </c>
      <c r="T45" s="7">
        <v>0</v>
      </c>
      <c r="U45" s="11">
        <v>273</v>
      </c>
      <c r="V45" s="11">
        <v>0</v>
      </c>
      <c r="W45" s="11">
        <v>273</v>
      </c>
      <c r="X45" s="11">
        <v>2814.0021000000002</v>
      </c>
      <c r="Y45" s="7">
        <v>0</v>
      </c>
      <c r="Z45" s="11">
        <v>273</v>
      </c>
      <c r="AA45" s="11">
        <v>0</v>
      </c>
      <c r="AB45" s="11">
        <v>273</v>
      </c>
      <c r="AC45" s="11">
        <v>2814.0021000000002</v>
      </c>
      <c r="AD45" s="7">
        <v>0</v>
      </c>
      <c r="AE45" s="11">
        <v>273</v>
      </c>
      <c r="AF45" s="11">
        <v>0</v>
      </c>
      <c r="AG45" s="11">
        <v>273</v>
      </c>
      <c r="AH45" s="11">
        <v>2814.0021000000002</v>
      </c>
      <c r="AI45" s="7">
        <v>0</v>
      </c>
      <c r="AJ45" s="11">
        <v>273</v>
      </c>
      <c r="AK45" s="11">
        <v>0</v>
      </c>
      <c r="AL45" s="11">
        <v>273</v>
      </c>
      <c r="AM45" s="11">
        <v>2814.0021000000002</v>
      </c>
      <c r="AN45" s="7">
        <v>0</v>
      </c>
      <c r="AO45" s="11">
        <v>273</v>
      </c>
      <c r="AP45" s="11">
        <v>0</v>
      </c>
      <c r="AQ45" s="11">
        <v>273</v>
      </c>
      <c r="AR45" s="11">
        <v>2814.0021000000002</v>
      </c>
      <c r="AS45" s="7">
        <v>0</v>
      </c>
    </row>
    <row r="46" spans="1:45" x14ac:dyDescent="0.3">
      <c r="A46" s="4" t="s">
        <v>103</v>
      </c>
      <c r="B46" s="4" t="s">
        <v>104</v>
      </c>
      <c r="C46" s="4" t="s">
        <v>100</v>
      </c>
      <c r="D46" s="5">
        <v>10.332000000000001</v>
      </c>
      <c r="E46" s="6">
        <v>127</v>
      </c>
      <c r="F46" s="6">
        <v>127</v>
      </c>
      <c r="G46" s="6">
        <v>1312.164</v>
      </c>
      <c r="H46" s="6">
        <v>3.5</v>
      </c>
      <c r="I46" s="12" t="s">
        <v>53</v>
      </c>
      <c r="J46" s="24">
        <v>0</v>
      </c>
      <c r="K46" s="24">
        <v>0</v>
      </c>
      <c r="L46" s="27">
        <v>1</v>
      </c>
      <c r="M46" s="24">
        <v>0</v>
      </c>
      <c r="N46" s="24">
        <v>0</v>
      </c>
      <c r="O46" s="27">
        <v>1</v>
      </c>
      <c r="P46" s="6">
        <v>127</v>
      </c>
      <c r="Q46" s="6">
        <v>20.940999999999999</v>
      </c>
      <c r="R46" s="6">
        <v>106.059</v>
      </c>
      <c r="S46" s="6">
        <v>1095.8016</v>
      </c>
      <c r="T46" s="7">
        <v>-1.07</v>
      </c>
      <c r="U46" s="6">
        <v>106.059</v>
      </c>
      <c r="V46" s="6">
        <v>21.2118</v>
      </c>
      <c r="W46" s="6">
        <v>84.847200000000001</v>
      </c>
      <c r="X46" s="6">
        <v>876.6413</v>
      </c>
      <c r="Y46" s="7">
        <v>0.21</v>
      </c>
      <c r="Z46" s="6">
        <v>84.847200000000001</v>
      </c>
      <c r="AA46" s="6">
        <v>21.347200000000001</v>
      </c>
      <c r="AB46" s="6">
        <v>63.5</v>
      </c>
      <c r="AC46" s="6">
        <v>656.08199999999999</v>
      </c>
      <c r="AD46" s="7">
        <v>0.85</v>
      </c>
      <c r="AE46" s="6">
        <v>63.5</v>
      </c>
      <c r="AF46" s="6">
        <v>21.347200000000001</v>
      </c>
      <c r="AG46" s="6">
        <v>42.152799999999999</v>
      </c>
      <c r="AH46" s="6">
        <v>435.52269999999999</v>
      </c>
      <c r="AI46" s="7">
        <v>0.85</v>
      </c>
      <c r="AJ46" s="6">
        <v>42.152799999999999</v>
      </c>
      <c r="AK46" s="6">
        <v>21.2118</v>
      </c>
      <c r="AL46" s="6">
        <v>20.940999999999999</v>
      </c>
      <c r="AM46" s="6">
        <v>216.36240000000001</v>
      </c>
      <c r="AN46" s="7">
        <v>0.21</v>
      </c>
      <c r="AO46" s="6">
        <v>20.940999999999999</v>
      </c>
      <c r="AP46" s="6">
        <v>20.940999999999999</v>
      </c>
      <c r="AQ46" s="6">
        <v>0</v>
      </c>
      <c r="AR46" s="6">
        <v>0</v>
      </c>
      <c r="AS46" s="7">
        <v>-1.07</v>
      </c>
    </row>
    <row r="47" spans="1:45" x14ac:dyDescent="0.3">
      <c r="A47" s="9" t="s">
        <v>105</v>
      </c>
      <c r="B47" s="9" t="s">
        <v>106</v>
      </c>
      <c r="C47" s="9" t="s">
        <v>107</v>
      </c>
      <c r="D47" s="10">
        <v>15.55</v>
      </c>
      <c r="E47" s="11">
        <v>294</v>
      </c>
      <c r="F47" s="11">
        <v>142</v>
      </c>
      <c r="G47" s="11">
        <v>4571.7</v>
      </c>
      <c r="H47" s="11">
        <v>3.9285999999999999</v>
      </c>
      <c r="I47" s="8" t="s">
        <v>16</v>
      </c>
      <c r="J47" s="26">
        <v>0</v>
      </c>
      <c r="K47" s="26">
        <v>0</v>
      </c>
      <c r="L47" s="26">
        <v>0</v>
      </c>
      <c r="M47" s="26">
        <v>0</v>
      </c>
      <c r="N47" s="25">
        <v>1</v>
      </c>
      <c r="O47" s="25">
        <v>1</v>
      </c>
      <c r="P47" s="11">
        <v>294</v>
      </c>
      <c r="Q47" s="11">
        <v>23.414400000000001</v>
      </c>
      <c r="R47" s="11">
        <v>270.5856</v>
      </c>
      <c r="S47" s="11">
        <v>4207.6061</v>
      </c>
      <c r="T47" s="7">
        <v>-1.07</v>
      </c>
      <c r="U47" s="11">
        <v>270.5856</v>
      </c>
      <c r="V47" s="11">
        <v>23.717099999999999</v>
      </c>
      <c r="W47" s="11">
        <v>246.86850000000001</v>
      </c>
      <c r="X47" s="11">
        <v>3838.8051999999998</v>
      </c>
      <c r="Y47" s="7">
        <v>0.21</v>
      </c>
      <c r="Z47" s="11">
        <v>246.86850000000001</v>
      </c>
      <c r="AA47" s="11">
        <v>23.868500000000001</v>
      </c>
      <c r="AB47" s="11">
        <v>223</v>
      </c>
      <c r="AC47" s="11">
        <v>3467.65</v>
      </c>
      <c r="AD47" s="7">
        <v>0.85</v>
      </c>
      <c r="AE47" s="11">
        <v>223</v>
      </c>
      <c r="AF47" s="11">
        <v>23.868500000000001</v>
      </c>
      <c r="AG47" s="11">
        <v>199.13149999999999</v>
      </c>
      <c r="AH47" s="11">
        <v>3096.4947999999999</v>
      </c>
      <c r="AI47" s="7">
        <v>0.85</v>
      </c>
      <c r="AJ47" s="11">
        <v>199.13149999999999</v>
      </c>
      <c r="AK47" s="11">
        <v>23.717099999999999</v>
      </c>
      <c r="AL47" s="11">
        <v>175.4144</v>
      </c>
      <c r="AM47" s="11">
        <v>2727.6939000000002</v>
      </c>
      <c r="AN47" s="7">
        <v>0.21</v>
      </c>
      <c r="AO47" s="11">
        <v>175.4144</v>
      </c>
      <c r="AP47" s="11">
        <v>23.414400000000001</v>
      </c>
      <c r="AQ47" s="11">
        <v>152</v>
      </c>
      <c r="AR47" s="11">
        <v>2363.6</v>
      </c>
      <c r="AS47" s="7">
        <v>-1.07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8636-A8B3-4549-AE48-3F7FFA6E9EAC}">
  <dimension ref="A1:AS47"/>
  <sheetViews>
    <sheetView tabSelected="1" topLeftCell="AM1" workbookViewId="0">
      <selection activeCell="AT4" sqref="AT4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34" t="s">
        <v>131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</row>
    <row r="2" spans="1:45" ht="18" customHeight="1" x14ac:dyDescent="0.3">
      <c r="A2" s="39" t="s">
        <v>1</v>
      </c>
      <c r="B2" s="39" t="s">
        <v>2</v>
      </c>
      <c r="C2" s="39" t="s">
        <v>3</v>
      </c>
      <c r="D2" s="39" t="s">
        <v>111</v>
      </c>
      <c r="E2" s="61" t="s">
        <v>132</v>
      </c>
      <c r="F2" s="62"/>
      <c r="G2" s="62"/>
      <c r="H2" s="62"/>
      <c r="I2" s="59" t="s">
        <v>113</v>
      </c>
      <c r="J2" s="60"/>
      <c r="K2" s="60"/>
      <c r="L2" s="60"/>
      <c r="M2" s="60"/>
      <c r="N2" s="60"/>
      <c r="O2" s="60"/>
      <c r="P2" s="72">
        <v>46055</v>
      </c>
      <c r="Q2" s="73"/>
      <c r="R2" s="73"/>
      <c r="S2" s="73"/>
      <c r="T2" s="74"/>
      <c r="U2" s="66">
        <v>46056</v>
      </c>
      <c r="V2" s="67"/>
      <c r="W2" s="67"/>
      <c r="X2" s="67"/>
      <c r="Y2" s="68"/>
      <c r="Z2" s="78">
        <v>46057</v>
      </c>
      <c r="AA2" s="79"/>
      <c r="AB2" s="79"/>
      <c r="AC2" s="79"/>
      <c r="AD2" s="80"/>
      <c r="AE2" s="66">
        <v>46058</v>
      </c>
      <c r="AF2" s="67"/>
      <c r="AG2" s="67"/>
      <c r="AH2" s="67"/>
      <c r="AI2" s="68"/>
      <c r="AJ2" s="75">
        <v>46059</v>
      </c>
      <c r="AK2" s="76"/>
      <c r="AL2" s="76"/>
      <c r="AM2" s="76"/>
      <c r="AN2" s="77"/>
      <c r="AO2" s="69">
        <v>46060</v>
      </c>
      <c r="AP2" s="70"/>
      <c r="AQ2" s="70"/>
      <c r="AR2" s="70"/>
      <c r="AS2" s="71"/>
    </row>
    <row r="3" spans="1:45" ht="28.05" customHeight="1" x14ac:dyDescent="0.3">
      <c r="A3" s="40"/>
      <c r="B3" s="40"/>
      <c r="C3" s="40"/>
      <c r="D3" s="40"/>
      <c r="E3" s="15" t="s">
        <v>8</v>
      </c>
      <c r="F3" s="15" t="s">
        <v>114</v>
      </c>
      <c r="G3" s="15" t="s">
        <v>10</v>
      </c>
      <c r="H3" s="15" t="s">
        <v>115</v>
      </c>
      <c r="I3" s="16" t="s">
        <v>116</v>
      </c>
      <c r="J3" s="17" t="s">
        <v>117</v>
      </c>
      <c r="K3" s="17" t="s">
        <v>118</v>
      </c>
      <c r="L3" s="17" t="s">
        <v>119</v>
      </c>
      <c r="M3" s="17" t="s">
        <v>120</v>
      </c>
      <c r="N3" s="17" t="s">
        <v>121</v>
      </c>
      <c r="O3" s="17" t="s">
        <v>122</v>
      </c>
      <c r="P3" s="18" t="s">
        <v>123</v>
      </c>
      <c r="Q3" s="18" t="s">
        <v>9</v>
      </c>
      <c r="R3" s="18" t="s">
        <v>124</v>
      </c>
      <c r="S3" s="18" t="s">
        <v>125</v>
      </c>
      <c r="T3" s="18" t="s">
        <v>126</v>
      </c>
      <c r="U3" s="19" t="s">
        <v>123</v>
      </c>
      <c r="V3" s="19" t="s">
        <v>9</v>
      </c>
      <c r="W3" s="19" t="s">
        <v>124</v>
      </c>
      <c r="X3" s="19" t="s">
        <v>125</v>
      </c>
      <c r="Y3" s="19" t="s">
        <v>126</v>
      </c>
      <c r="Z3" s="20" t="s">
        <v>123</v>
      </c>
      <c r="AA3" s="20" t="s">
        <v>9</v>
      </c>
      <c r="AB3" s="20" t="s">
        <v>124</v>
      </c>
      <c r="AC3" s="20" t="s">
        <v>125</v>
      </c>
      <c r="AD3" s="20" t="s">
        <v>126</v>
      </c>
      <c r="AE3" s="21" t="s">
        <v>123</v>
      </c>
      <c r="AF3" s="21" t="s">
        <v>9</v>
      </c>
      <c r="AG3" s="21" t="s">
        <v>124</v>
      </c>
      <c r="AH3" s="21" t="s">
        <v>125</v>
      </c>
      <c r="AI3" s="21" t="s">
        <v>126</v>
      </c>
      <c r="AJ3" s="22" t="s">
        <v>123</v>
      </c>
      <c r="AK3" s="22" t="s">
        <v>9</v>
      </c>
      <c r="AL3" s="22" t="s">
        <v>124</v>
      </c>
      <c r="AM3" s="22" t="s">
        <v>125</v>
      </c>
      <c r="AN3" s="22" t="s">
        <v>126</v>
      </c>
      <c r="AO3" s="23" t="s">
        <v>123</v>
      </c>
      <c r="AP3" s="23" t="s">
        <v>9</v>
      </c>
      <c r="AQ3" s="23" t="s">
        <v>124</v>
      </c>
      <c r="AR3" s="23" t="s">
        <v>125</v>
      </c>
      <c r="AS3" s="23" t="s">
        <v>126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2.5999999999999999E-3</v>
      </c>
      <c r="E4" s="6">
        <v>1656000</v>
      </c>
      <c r="F4" s="6">
        <v>0</v>
      </c>
      <c r="G4" s="6">
        <v>4305.6000000000004</v>
      </c>
      <c r="H4" s="6">
        <v>22.142900000000001</v>
      </c>
      <c r="I4" s="8" t="s">
        <v>16</v>
      </c>
      <c r="J4" s="24">
        <v>0</v>
      </c>
      <c r="K4" s="24">
        <v>0</v>
      </c>
      <c r="L4" s="24">
        <v>0</v>
      </c>
      <c r="M4" s="24">
        <v>0</v>
      </c>
      <c r="N4" s="25">
        <v>1</v>
      </c>
      <c r="O4" s="25">
        <v>1</v>
      </c>
      <c r="P4" s="6">
        <v>1656000</v>
      </c>
      <c r="Q4" s="6">
        <v>0</v>
      </c>
      <c r="R4" s="6">
        <v>1656000</v>
      </c>
      <c r="S4" s="6">
        <v>4305.6000000000004</v>
      </c>
      <c r="T4" s="7">
        <v>0</v>
      </c>
      <c r="U4" s="6">
        <v>1656000</v>
      </c>
      <c r="V4" s="6">
        <v>0</v>
      </c>
      <c r="W4" s="6">
        <v>1656000</v>
      </c>
      <c r="X4" s="6">
        <v>4305.6000000000004</v>
      </c>
      <c r="Y4" s="7">
        <v>0</v>
      </c>
      <c r="Z4" s="6">
        <v>1656000</v>
      </c>
      <c r="AA4" s="6">
        <v>0</v>
      </c>
      <c r="AB4" s="6">
        <v>1656000</v>
      </c>
      <c r="AC4" s="6">
        <v>4305.6000000000004</v>
      </c>
      <c r="AD4" s="7">
        <v>0</v>
      </c>
      <c r="AE4" s="6">
        <v>1656000</v>
      </c>
      <c r="AF4" s="6">
        <v>0</v>
      </c>
      <c r="AG4" s="6">
        <v>1656000</v>
      </c>
      <c r="AH4" s="6">
        <v>4305.6000000000004</v>
      </c>
      <c r="AI4" s="7">
        <v>0</v>
      </c>
      <c r="AJ4" s="6">
        <v>1656000</v>
      </c>
      <c r="AK4" s="6">
        <v>0</v>
      </c>
      <c r="AL4" s="6">
        <v>1656000</v>
      </c>
      <c r="AM4" s="6">
        <v>4305.6000000000004</v>
      </c>
      <c r="AN4" s="7">
        <v>0</v>
      </c>
      <c r="AO4" s="6">
        <v>1656000</v>
      </c>
      <c r="AP4" s="6">
        <v>0</v>
      </c>
      <c r="AQ4" s="6">
        <v>1656000</v>
      </c>
      <c r="AR4" s="6">
        <v>4305.6000000000004</v>
      </c>
      <c r="AS4" s="7">
        <v>0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3.5000000000000001E-3</v>
      </c>
      <c r="E5" s="11">
        <v>208000</v>
      </c>
      <c r="F5" s="11">
        <v>0</v>
      </c>
      <c r="G5" s="11">
        <v>728</v>
      </c>
      <c r="H5" s="11">
        <v>22.142900000000001</v>
      </c>
      <c r="I5" s="8" t="s">
        <v>16</v>
      </c>
      <c r="J5" s="26">
        <v>0</v>
      </c>
      <c r="K5" s="26">
        <v>0</v>
      </c>
      <c r="L5" s="26">
        <v>0</v>
      </c>
      <c r="M5" s="26">
        <v>0</v>
      </c>
      <c r="N5" s="25">
        <v>1</v>
      </c>
      <c r="O5" s="25">
        <v>1</v>
      </c>
      <c r="P5" s="11">
        <v>208000</v>
      </c>
      <c r="Q5" s="11">
        <v>0</v>
      </c>
      <c r="R5" s="11">
        <v>208000</v>
      </c>
      <c r="S5" s="11">
        <v>728</v>
      </c>
      <c r="T5" s="7">
        <v>0</v>
      </c>
      <c r="U5" s="11">
        <v>208000</v>
      </c>
      <c r="V5" s="11">
        <v>0</v>
      </c>
      <c r="W5" s="11">
        <v>208000</v>
      </c>
      <c r="X5" s="11">
        <v>728</v>
      </c>
      <c r="Y5" s="7">
        <v>0</v>
      </c>
      <c r="Z5" s="11">
        <v>208000</v>
      </c>
      <c r="AA5" s="11">
        <v>0</v>
      </c>
      <c r="AB5" s="11">
        <v>208000</v>
      </c>
      <c r="AC5" s="11">
        <v>728</v>
      </c>
      <c r="AD5" s="7">
        <v>0</v>
      </c>
      <c r="AE5" s="11">
        <v>208000</v>
      </c>
      <c r="AF5" s="11">
        <v>0</v>
      </c>
      <c r="AG5" s="11">
        <v>208000</v>
      </c>
      <c r="AH5" s="11">
        <v>728</v>
      </c>
      <c r="AI5" s="7">
        <v>0</v>
      </c>
      <c r="AJ5" s="11">
        <v>208000</v>
      </c>
      <c r="AK5" s="11">
        <v>0</v>
      </c>
      <c r="AL5" s="11">
        <v>208000</v>
      </c>
      <c r="AM5" s="11">
        <v>728</v>
      </c>
      <c r="AN5" s="7">
        <v>0</v>
      </c>
      <c r="AO5" s="11">
        <v>208000</v>
      </c>
      <c r="AP5" s="11">
        <v>0</v>
      </c>
      <c r="AQ5" s="11">
        <v>208000</v>
      </c>
      <c r="AR5" s="11">
        <v>728</v>
      </c>
      <c r="AS5" s="7">
        <v>0</v>
      </c>
    </row>
    <row r="6" spans="1:45" x14ac:dyDescent="0.3">
      <c r="A6" s="4" t="s">
        <v>19</v>
      </c>
      <c r="B6" s="4" t="s">
        <v>20</v>
      </c>
      <c r="C6" s="4" t="s">
        <v>15</v>
      </c>
      <c r="D6" s="5">
        <v>1.5900000000000001E-2</v>
      </c>
      <c r="E6" s="6">
        <v>1290000</v>
      </c>
      <c r="F6" s="6">
        <v>0</v>
      </c>
      <c r="G6" s="6">
        <v>20511</v>
      </c>
      <c r="H6" s="6">
        <v>22.142900000000001</v>
      </c>
      <c r="I6" s="8" t="s">
        <v>16</v>
      </c>
      <c r="J6" s="24">
        <v>0</v>
      </c>
      <c r="K6" s="24">
        <v>0</v>
      </c>
      <c r="L6" s="24">
        <v>0</v>
      </c>
      <c r="M6" s="24">
        <v>0</v>
      </c>
      <c r="N6" s="25">
        <v>1</v>
      </c>
      <c r="O6" s="25">
        <v>1</v>
      </c>
      <c r="P6" s="6">
        <v>1290000</v>
      </c>
      <c r="Q6" s="6">
        <v>0</v>
      </c>
      <c r="R6" s="6">
        <v>1290000</v>
      </c>
      <c r="S6" s="6">
        <v>20511</v>
      </c>
      <c r="T6" s="7">
        <v>0</v>
      </c>
      <c r="U6" s="6">
        <v>1290000</v>
      </c>
      <c r="V6" s="6">
        <v>0</v>
      </c>
      <c r="W6" s="6">
        <v>1290000</v>
      </c>
      <c r="X6" s="6">
        <v>20511</v>
      </c>
      <c r="Y6" s="7">
        <v>0</v>
      </c>
      <c r="Z6" s="6">
        <v>1290000</v>
      </c>
      <c r="AA6" s="6">
        <v>0</v>
      </c>
      <c r="AB6" s="6">
        <v>1290000</v>
      </c>
      <c r="AC6" s="6">
        <v>20511</v>
      </c>
      <c r="AD6" s="7">
        <v>0</v>
      </c>
      <c r="AE6" s="6">
        <v>1290000</v>
      </c>
      <c r="AF6" s="6">
        <v>0</v>
      </c>
      <c r="AG6" s="6">
        <v>1290000</v>
      </c>
      <c r="AH6" s="6">
        <v>20511</v>
      </c>
      <c r="AI6" s="7">
        <v>0</v>
      </c>
      <c r="AJ6" s="6">
        <v>1290000</v>
      </c>
      <c r="AK6" s="6">
        <v>0</v>
      </c>
      <c r="AL6" s="6">
        <v>1290000</v>
      </c>
      <c r="AM6" s="6">
        <v>20511</v>
      </c>
      <c r="AN6" s="7">
        <v>0</v>
      </c>
      <c r="AO6" s="6">
        <v>1290000</v>
      </c>
      <c r="AP6" s="6">
        <v>0</v>
      </c>
      <c r="AQ6" s="6">
        <v>1290000</v>
      </c>
      <c r="AR6" s="6">
        <v>20511</v>
      </c>
      <c r="AS6" s="7">
        <v>0</v>
      </c>
    </row>
    <row r="7" spans="1:45" x14ac:dyDescent="0.3">
      <c r="A7" s="9" t="s">
        <v>21</v>
      </c>
      <c r="B7" s="9" t="s">
        <v>22</v>
      </c>
      <c r="C7" s="9" t="s">
        <v>15</v>
      </c>
      <c r="D7" s="10">
        <v>8.6E-3</v>
      </c>
      <c r="E7" s="11">
        <v>380000</v>
      </c>
      <c r="F7" s="11">
        <v>0</v>
      </c>
      <c r="G7" s="11">
        <v>3268</v>
      </c>
      <c r="H7" s="11">
        <v>22.142900000000001</v>
      </c>
      <c r="I7" s="8" t="s">
        <v>16</v>
      </c>
      <c r="J7" s="26">
        <v>0</v>
      </c>
      <c r="K7" s="26">
        <v>0</v>
      </c>
      <c r="L7" s="26">
        <v>0</v>
      </c>
      <c r="M7" s="26">
        <v>0</v>
      </c>
      <c r="N7" s="25">
        <v>1</v>
      </c>
      <c r="O7" s="25">
        <v>1</v>
      </c>
      <c r="P7" s="11">
        <v>380000</v>
      </c>
      <c r="Q7" s="11">
        <v>0</v>
      </c>
      <c r="R7" s="11">
        <v>380000</v>
      </c>
      <c r="S7" s="11">
        <v>3268</v>
      </c>
      <c r="T7" s="7">
        <v>0</v>
      </c>
      <c r="U7" s="11">
        <v>380000</v>
      </c>
      <c r="V7" s="11">
        <v>0</v>
      </c>
      <c r="W7" s="11">
        <v>380000</v>
      </c>
      <c r="X7" s="11">
        <v>3268</v>
      </c>
      <c r="Y7" s="7">
        <v>0</v>
      </c>
      <c r="Z7" s="11">
        <v>380000</v>
      </c>
      <c r="AA7" s="11">
        <v>0</v>
      </c>
      <c r="AB7" s="11">
        <v>380000</v>
      </c>
      <c r="AC7" s="11">
        <v>3268</v>
      </c>
      <c r="AD7" s="7">
        <v>0</v>
      </c>
      <c r="AE7" s="11">
        <v>380000</v>
      </c>
      <c r="AF7" s="11">
        <v>0</v>
      </c>
      <c r="AG7" s="11">
        <v>380000</v>
      </c>
      <c r="AH7" s="11">
        <v>3268</v>
      </c>
      <c r="AI7" s="7">
        <v>0</v>
      </c>
      <c r="AJ7" s="11">
        <v>380000</v>
      </c>
      <c r="AK7" s="11">
        <v>0</v>
      </c>
      <c r="AL7" s="11">
        <v>380000</v>
      </c>
      <c r="AM7" s="11">
        <v>3268</v>
      </c>
      <c r="AN7" s="7">
        <v>0</v>
      </c>
      <c r="AO7" s="11">
        <v>380000</v>
      </c>
      <c r="AP7" s="11">
        <v>0</v>
      </c>
      <c r="AQ7" s="11">
        <v>380000</v>
      </c>
      <c r="AR7" s="11">
        <v>3268</v>
      </c>
      <c r="AS7" s="7">
        <v>0</v>
      </c>
    </row>
    <row r="8" spans="1:45" x14ac:dyDescent="0.3">
      <c r="A8" s="4" t="s">
        <v>23</v>
      </c>
      <c r="B8" s="4" t="s">
        <v>24</v>
      </c>
      <c r="C8" s="4" t="s">
        <v>15</v>
      </c>
      <c r="D8" s="5">
        <v>7.1999999999999998E-3</v>
      </c>
      <c r="E8" s="6">
        <v>176000</v>
      </c>
      <c r="F8" s="6">
        <v>0</v>
      </c>
      <c r="G8" s="6">
        <v>1267.2</v>
      </c>
      <c r="H8" s="6">
        <v>22.142900000000001</v>
      </c>
      <c r="I8" s="8" t="s">
        <v>16</v>
      </c>
      <c r="J8" s="24">
        <v>0</v>
      </c>
      <c r="K8" s="24">
        <v>0</v>
      </c>
      <c r="L8" s="24">
        <v>0</v>
      </c>
      <c r="M8" s="24">
        <v>0</v>
      </c>
      <c r="N8" s="25">
        <v>1</v>
      </c>
      <c r="O8" s="25">
        <v>1</v>
      </c>
      <c r="P8" s="6">
        <v>176000</v>
      </c>
      <c r="Q8" s="6">
        <v>0</v>
      </c>
      <c r="R8" s="6">
        <v>176000</v>
      </c>
      <c r="S8" s="6">
        <v>1267.2</v>
      </c>
      <c r="T8" s="7">
        <v>0</v>
      </c>
      <c r="U8" s="6">
        <v>176000</v>
      </c>
      <c r="V8" s="6">
        <v>0</v>
      </c>
      <c r="W8" s="6">
        <v>176000</v>
      </c>
      <c r="X8" s="6">
        <v>1267.2</v>
      </c>
      <c r="Y8" s="7">
        <v>0</v>
      </c>
      <c r="Z8" s="6">
        <v>176000</v>
      </c>
      <c r="AA8" s="6">
        <v>0</v>
      </c>
      <c r="AB8" s="6">
        <v>176000</v>
      </c>
      <c r="AC8" s="6">
        <v>1267.2</v>
      </c>
      <c r="AD8" s="7">
        <v>0</v>
      </c>
      <c r="AE8" s="6">
        <v>176000</v>
      </c>
      <c r="AF8" s="6">
        <v>0</v>
      </c>
      <c r="AG8" s="6">
        <v>176000</v>
      </c>
      <c r="AH8" s="6">
        <v>1267.2</v>
      </c>
      <c r="AI8" s="7">
        <v>0</v>
      </c>
      <c r="AJ8" s="6">
        <v>176000</v>
      </c>
      <c r="AK8" s="6">
        <v>0</v>
      </c>
      <c r="AL8" s="6">
        <v>176000</v>
      </c>
      <c r="AM8" s="6">
        <v>1267.2</v>
      </c>
      <c r="AN8" s="7">
        <v>0</v>
      </c>
      <c r="AO8" s="6">
        <v>176000</v>
      </c>
      <c r="AP8" s="6">
        <v>0</v>
      </c>
      <c r="AQ8" s="6">
        <v>176000</v>
      </c>
      <c r="AR8" s="6">
        <v>1267.2</v>
      </c>
      <c r="AS8" s="7">
        <v>0</v>
      </c>
    </row>
    <row r="9" spans="1:45" x14ac:dyDescent="0.3">
      <c r="A9" s="9" t="s">
        <v>25</v>
      </c>
      <c r="B9" s="9" t="s">
        <v>26</v>
      </c>
      <c r="C9" s="9" t="s">
        <v>15</v>
      </c>
      <c r="D9" s="10">
        <v>7.7000000000000002E-3</v>
      </c>
      <c r="E9" s="11">
        <v>510000</v>
      </c>
      <c r="F9" s="11">
        <v>0</v>
      </c>
      <c r="G9" s="11">
        <v>3927</v>
      </c>
      <c r="H9" s="11">
        <v>22.142900000000001</v>
      </c>
      <c r="I9" s="8" t="s">
        <v>16</v>
      </c>
      <c r="J9" s="26">
        <v>0</v>
      </c>
      <c r="K9" s="26">
        <v>0</v>
      </c>
      <c r="L9" s="26">
        <v>0</v>
      </c>
      <c r="M9" s="26">
        <v>0</v>
      </c>
      <c r="N9" s="25">
        <v>1</v>
      </c>
      <c r="O9" s="25">
        <v>1</v>
      </c>
      <c r="P9" s="11">
        <v>510000</v>
      </c>
      <c r="Q9" s="11">
        <v>0</v>
      </c>
      <c r="R9" s="11">
        <v>510000</v>
      </c>
      <c r="S9" s="11">
        <v>3927</v>
      </c>
      <c r="T9" s="7">
        <v>0</v>
      </c>
      <c r="U9" s="11">
        <v>510000</v>
      </c>
      <c r="V9" s="11">
        <v>0</v>
      </c>
      <c r="W9" s="11">
        <v>510000</v>
      </c>
      <c r="X9" s="11">
        <v>3927</v>
      </c>
      <c r="Y9" s="7">
        <v>0</v>
      </c>
      <c r="Z9" s="11">
        <v>510000</v>
      </c>
      <c r="AA9" s="11">
        <v>0</v>
      </c>
      <c r="AB9" s="11">
        <v>510000</v>
      </c>
      <c r="AC9" s="11">
        <v>3927</v>
      </c>
      <c r="AD9" s="7">
        <v>0</v>
      </c>
      <c r="AE9" s="11">
        <v>510000</v>
      </c>
      <c r="AF9" s="11">
        <v>0</v>
      </c>
      <c r="AG9" s="11">
        <v>510000</v>
      </c>
      <c r="AH9" s="11">
        <v>3927</v>
      </c>
      <c r="AI9" s="7">
        <v>0</v>
      </c>
      <c r="AJ9" s="11">
        <v>510000</v>
      </c>
      <c r="AK9" s="11">
        <v>0</v>
      </c>
      <c r="AL9" s="11">
        <v>510000</v>
      </c>
      <c r="AM9" s="11">
        <v>3927</v>
      </c>
      <c r="AN9" s="7">
        <v>0</v>
      </c>
      <c r="AO9" s="11">
        <v>510000</v>
      </c>
      <c r="AP9" s="11">
        <v>0</v>
      </c>
      <c r="AQ9" s="11">
        <v>510000</v>
      </c>
      <c r="AR9" s="11">
        <v>3927</v>
      </c>
      <c r="AS9" s="7">
        <v>0</v>
      </c>
    </row>
    <row r="10" spans="1:45" x14ac:dyDescent="0.3">
      <c r="A10" s="4" t="s">
        <v>27</v>
      </c>
      <c r="B10" s="4" t="s">
        <v>28</v>
      </c>
      <c r="C10" s="4" t="s">
        <v>15</v>
      </c>
      <c r="D10" s="5">
        <v>8.2000000000000007E-3</v>
      </c>
      <c r="E10" s="6">
        <v>600000</v>
      </c>
      <c r="F10" s="6">
        <v>0</v>
      </c>
      <c r="G10" s="6">
        <v>4920</v>
      </c>
      <c r="H10" s="6">
        <v>22.142900000000001</v>
      </c>
      <c r="I10" s="8" t="s">
        <v>16</v>
      </c>
      <c r="J10" s="24">
        <v>0</v>
      </c>
      <c r="K10" s="24">
        <v>0</v>
      </c>
      <c r="L10" s="24">
        <v>0</v>
      </c>
      <c r="M10" s="24">
        <v>0</v>
      </c>
      <c r="N10" s="25">
        <v>1</v>
      </c>
      <c r="O10" s="25">
        <v>1</v>
      </c>
      <c r="P10" s="6">
        <v>600000</v>
      </c>
      <c r="Q10" s="6">
        <v>0</v>
      </c>
      <c r="R10" s="6">
        <v>600000</v>
      </c>
      <c r="S10" s="6">
        <v>4920</v>
      </c>
      <c r="T10" s="7">
        <v>0</v>
      </c>
      <c r="U10" s="6">
        <v>600000</v>
      </c>
      <c r="V10" s="6">
        <v>0</v>
      </c>
      <c r="W10" s="6">
        <v>600000</v>
      </c>
      <c r="X10" s="6">
        <v>4920</v>
      </c>
      <c r="Y10" s="7">
        <v>0</v>
      </c>
      <c r="Z10" s="6">
        <v>600000</v>
      </c>
      <c r="AA10" s="6">
        <v>0</v>
      </c>
      <c r="AB10" s="6">
        <v>600000</v>
      </c>
      <c r="AC10" s="6">
        <v>4920</v>
      </c>
      <c r="AD10" s="7">
        <v>0</v>
      </c>
      <c r="AE10" s="6">
        <v>600000</v>
      </c>
      <c r="AF10" s="6">
        <v>0</v>
      </c>
      <c r="AG10" s="6">
        <v>600000</v>
      </c>
      <c r="AH10" s="6">
        <v>4920</v>
      </c>
      <c r="AI10" s="7">
        <v>0</v>
      </c>
      <c r="AJ10" s="6">
        <v>600000</v>
      </c>
      <c r="AK10" s="6">
        <v>0</v>
      </c>
      <c r="AL10" s="6">
        <v>600000</v>
      </c>
      <c r="AM10" s="6">
        <v>4920</v>
      </c>
      <c r="AN10" s="7">
        <v>0</v>
      </c>
      <c r="AO10" s="6">
        <v>600000</v>
      </c>
      <c r="AP10" s="6">
        <v>0</v>
      </c>
      <c r="AQ10" s="6">
        <v>600000</v>
      </c>
      <c r="AR10" s="6">
        <v>4920</v>
      </c>
      <c r="AS10" s="7">
        <v>0</v>
      </c>
    </row>
    <row r="11" spans="1:45" x14ac:dyDescent="0.3">
      <c r="A11" s="9" t="s">
        <v>29</v>
      </c>
      <c r="B11" s="9" t="s">
        <v>30</v>
      </c>
      <c r="C11" s="9" t="s">
        <v>15</v>
      </c>
      <c r="D11" s="10">
        <v>5.7999999999999996E-3</v>
      </c>
      <c r="E11" s="11">
        <v>80000</v>
      </c>
      <c r="F11" s="11">
        <v>80000</v>
      </c>
      <c r="G11" s="11">
        <v>464</v>
      </c>
      <c r="H11" s="11">
        <v>22.142900000000001</v>
      </c>
      <c r="I11" s="8" t="s">
        <v>16</v>
      </c>
      <c r="J11" s="26">
        <v>0</v>
      </c>
      <c r="K11" s="26">
        <v>0</v>
      </c>
      <c r="L11" s="26">
        <v>0</v>
      </c>
      <c r="M11" s="26">
        <v>0</v>
      </c>
      <c r="N11" s="25">
        <v>1</v>
      </c>
      <c r="O11" s="25">
        <v>1</v>
      </c>
      <c r="P11" s="11">
        <v>80000</v>
      </c>
      <c r="Q11" s="11">
        <v>13191.205900000001</v>
      </c>
      <c r="R11" s="11">
        <v>66808.794099999999</v>
      </c>
      <c r="S11" s="11">
        <v>387.49099999999999</v>
      </c>
      <c r="T11" s="7">
        <v>-1.07</v>
      </c>
      <c r="U11" s="11">
        <v>66808.794099999999</v>
      </c>
      <c r="V11" s="11">
        <v>13361.7588</v>
      </c>
      <c r="W11" s="11">
        <v>53447.035300000003</v>
      </c>
      <c r="X11" s="11">
        <v>309.99279999999999</v>
      </c>
      <c r="Y11" s="7">
        <v>0.21</v>
      </c>
      <c r="Z11" s="11">
        <v>53447.035300000003</v>
      </c>
      <c r="AA11" s="11">
        <v>13447.0353</v>
      </c>
      <c r="AB11" s="11">
        <v>40000</v>
      </c>
      <c r="AC11" s="11">
        <v>232</v>
      </c>
      <c r="AD11" s="7">
        <v>0.85</v>
      </c>
      <c r="AE11" s="11">
        <v>40000</v>
      </c>
      <c r="AF11" s="11">
        <v>13447.0353</v>
      </c>
      <c r="AG11" s="11">
        <v>26552.9647</v>
      </c>
      <c r="AH11" s="11">
        <v>154.00720000000001</v>
      </c>
      <c r="AI11" s="7">
        <v>0.85</v>
      </c>
      <c r="AJ11" s="11">
        <v>26552.9647</v>
      </c>
      <c r="AK11" s="11">
        <v>13361.7588</v>
      </c>
      <c r="AL11" s="11">
        <v>13191.205900000001</v>
      </c>
      <c r="AM11" s="11">
        <v>76.509</v>
      </c>
      <c r="AN11" s="7">
        <v>0.21</v>
      </c>
      <c r="AO11" s="11">
        <v>13191.205900000001</v>
      </c>
      <c r="AP11" s="11">
        <v>13191.205900000001</v>
      </c>
      <c r="AQ11" s="11">
        <v>0</v>
      </c>
      <c r="AR11" s="11">
        <v>0</v>
      </c>
      <c r="AS11" s="7">
        <v>-1.07</v>
      </c>
    </row>
    <row r="12" spans="1:45" x14ac:dyDescent="0.3">
      <c r="A12" s="4" t="s">
        <v>31</v>
      </c>
      <c r="B12" s="4" t="s">
        <v>32</v>
      </c>
      <c r="C12" s="4" t="s">
        <v>15</v>
      </c>
      <c r="D12" s="5">
        <v>7.7000000000000002E-3</v>
      </c>
      <c r="E12" s="6">
        <v>400000</v>
      </c>
      <c r="F12" s="6">
        <v>64000</v>
      </c>
      <c r="G12" s="6">
        <v>3080</v>
      </c>
      <c r="H12" s="6">
        <v>22.142900000000001</v>
      </c>
      <c r="I12" s="8" t="s">
        <v>16</v>
      </c>
      <c r="J12" s="24">
        <v>0</v>
      </c>
      <c r="K12" s="24">
        <v>0</v>
      </c>
      <c r="L12" s="24">
        <v>0</v>
      </c>
      <c r="M12" s="24">
        <v>0</v>
      </c>
      <c r="N12" s="25">
        <v>1</v>
      </c>
      <c r="O12" s="25">
        <v>1</v>
      </c>
      <c r="P12" s="6">
        <v>400000</v>
      </c>
      <c r="Q12" s="6">
        <v>10552.9647</v>
      </c>
      <c r="R12" s="6">
        <v>389447.03529999999</v>
      </c>
      <c r="S12" s="6">
        <v>2998.7422000000001</v>
      </c>
      <c r="T12" s="7">
        <v>-1.07</v>
      </c>
      <c r="U12" s="6">
        <v>389447.03529999999</v>
      </c>
      <c r="V12" s="6">
        <v>10689.4071</v>
      </c>
      <c r="W12" s="6">
        <v>378757.62819999998</v>
      </c>
      <c r="X12" s="6">
        <v>2916.4337</v>
      </c>
      <c r="Y12" s="7">
        <v>0.21</v>
      </c>
      <c r="Z12" s="6">
        <v>378757.62819999998</v>
      </c>
      <c r="AA12" s="6">
        <v>10757.628199999999</v>
      </c>
      <c r="AB12" s="6">
        <v>368000</v>
      </c>
      <c r="AC12" s="6">
        <v>2833.6</v>
      </c>
      <c r="AD12" s="7">
        <v>0.85</v>
      </c>
      <c r="AE12" s="6">
        <v>368000</v>
      </c>
      <c r="AF12" s="6">
        <v>10757.628199999999</v>
      </c>
      <c r="AG12" s="6">
        <v>357242.37180000002</v>
      </c>
      <c r="AH12" s="6">
        <v>2750.7662999999998</v>
      </c>
      <c r="AI12" s="7">
        <v>0.85</v>
      </c>
      <c r="AJ12" s="6">
        <v>357242.37180000002</v>
      </c>
      <c r="AK12" s="6">
        <v>10689.4071</v>
      </c>
      <c r="AL12" s="6">
        <v>346552.96470000001</v>
      </c>
      <c r="AM12" s="6">
        <v>2668.4578000000001</v>
      </c>
      <c r="AN12" s="7">
        <v>0.21</v>
      </c>
      <c r="AO12" s="6">
        <v>346552.96470000001</v>
      </c>
      <c r="AP12" s="6">
        <v>10552.9647</v>
      </c>
      <c r="AQ12" s="6">
        <v>336000</v>
      </c>
      <c r="AR12" s="6">
        <v>2587.1999999999998</v>
      </c>
      <c r="AS12" s="7">
        <v>-1.07</v>
      </c>
    </row>
    <row r="13" spans="1:45" x14ac:dyDescent="0.3">
      <c r="A13" s="9" t="s">
        <v>33</v>
      </c>
      <c r="B13" s="9" t="s">
        <v>34</v>
      </c>
      <c r="C13" s="9" t="s">
        <v>15</v>
      </c>
      <c r="D13" s="10">
        <v>5.4999999999999997E-3</v>
      </c>
      <c r="E13" s="11">
        <v>720000</v>
      </c>
      <c r="F13" s="11">
        <v>0</v>
      </c>
      <c r="G13" s="11">
        <v>3960</v>
      </c>
      <c r="H13" s="11">
        <v>22.142900000000001</v>
      </c>
      <c r="I13" s="8" t="s">
        <v>16</v>
      </c>
      <c r="J13" s="26">
        <v>0</v>
      </c>
      <c r="K13" s="26">
        <v>0</v>
      </c>
      <c r="L13" s="26">
        <v>0</v>
      </c>
      <c r="M13" s="26">
        <v>0</v>
      </c>
      <c r="N13" s="25">
        <v>1</v>
      </c>
      <c r="O13" s="25">
        <v>1</v>
      </c>
      <c r="P13" s="11">
        <v>720000</v>
      </c>
      <c r="Q13" s="11">
        <v>0</v>
      </c>
      <c r="R13" s="11">
        <v>720000</v>
      </c>
      <c r="S13" s="11">
        <v>3960</v>
      </c>
      <c r="T13" s="7">
        <v>0</v>
      </c>
      <c r="U13" s="11">
        <v>720000</v>
      </c>
      <c r="V13" s="11">
        <v>0</v>
      </c>
      <c r="W13" s="11">
        <v>720000</v>
      </c>
      <c r="X13" s="11">
        <v>3960</v>
      </c>
      <c r="Y13" s="7">
        <v>0</v>
      </c>
      <c r="Z13" s="11">
        <v>720000</v>
      </c>
      <c r="AA13" s="11">
        <v>0</v>
      </c>
      <c r="AB13" s="11">
        <v>720000</v>
      </c>
      <c r="AC13" s="11">
        <v>3960</v>
      </c>
      <c r="AD13" s="7">
        <v>0</v>
      </c>
      <c r="AE13" s="11">
        <v>720000</v>
      </c>
      <c r="AF13" s="11">
        <v>0</v>
      </c>
      <c r="AG13" s="11">
        <v>720000</v>
      </c>
      <c r="AH13" s="11">
        <v>3960</v>
      </c>
      <c r="AI13" s="7">
        <v>0</v>
      </c>
      <c r="AJ13" s="11">
        <v>720000</v>
      </c>
      <c r="AK13" s="11">
        <v>0</v>
      </c>
      <c r="AL13" s="11">
        <v>720000</v>
      </c>
      <c r="AM13" s="11">
        <v>3960</v>
      </c>
      <c r="AN13" s="7">
        <v>0</v>
      </c>
      <c r="AO13" s="11">
        <v>720000</v>
      </c>
      <c r="AP13" s="11">
        <v>0</v>
      </c>
      <c r="AQ13" s="11">
        <v>720000</v>
      </c>
      <c r="AR13" s="11">
        <v>3960</v>
      </c>
      <c r="AS13" s="7">
        <v>0</v>
      </c>
    </row>
    <row r="14" spans="1:45" x14ac:dyDescent="0.3">
      <c r="A14" s="4" t="s">
        <v>35</v>
      </c>
      <c r="B14" s="4" t="s">
        <v>36</v>
      </c>
      <c r="C14" s="4" t="s">
        <v>15</v>
      </c>
      <c r="D14" s="5">
        <v>6.4999999999999997E-3</v>
      </c>
      <c r="E14" s="6">
        <v>0</v>
      </c>
      <c r="F14" s="6">
        <v>0</v>
      </c>
      <c r="G14" s="6">
        <v>0</v>
      </c>
      <c r="H14" s="6">
        <v>22.142900000000001</v>
      </c>
      <c r="I14" s="28" t="s">
        <v>133</v>
      </c>
      <c r="J14" s="24">
        <v>0</v>
      </c>
      <c r="K14" s="29">
        <v>1</v>
      </c>
      <c r="L14" s="24">
        <v>0</v>
      </c>
      <c r="M14" s="24">
        <v>0</v>
      </c>
      <c r="N14" s="29">
        <v>1</v>
      </c>
      <c r="O14" s="24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</row>
    <row r="15" spans="1:45" x14ac:dyDescent="0.3">
      <c r="A15" s="9" t="s">
        <v>37</v>
      </c>
      <c r="B15" s="9" t="s">
        <v>38</v>
      </c>
      <c r="C15" s="9" t="s">
        <v>15</v>
      </c>
      <c r="D15" s="10">
        <v>4.4999999999999997E-3</v>
      </c>
      <c r="E15" s="11">
        <v>96000</v>
      </c>
      <c r="F15" s="11">
        <v>0</v>
      </c>
      <c r="G15" s="11">
        <v>432</v>
      </c>
      <c r="H15" s="11">
        <v>22.142900000000001</v>
      </c>
      <c r="I15" s="8" t="s">
        <v>16</v>
      </c>
      <c r="J15" s="26">
        <v>0</v>
      </c>
      <c r="K15" s="26">
        <v>0</v>
      </c>
      <c r="L15" s="26">
        <v>0</v>
      </c>
      <c r="M15" s="26">
        <v>0</v>
      </c>
      <c r="N15" s="25">
        <v>1</v>
      </c>
      <c r="O15" s="25">
        <v>1</v>
      </c>
      <c r="P15" s="11">
        <v>96000</v>
      </c>
      <c r="Q15" s="11">
        <v>0</v>
      </c>
      <c r="R15" s="11">
        <v>96000</v>
      </c>
      <c r="S15" s="11">
        <v>432</v>
      </c>
      <c r="T15" s="7">
        <v>0</v>
      </c>
      <c r="U15" s="11">
        <v>96000</v>
      </c>
      <c r="V15" s="11">
        <v>0</v>
      </c>
      <c r="W15" s="11">
        <v>96000</v>
      </c>
      <c r="X15" s="11">
        <v>432</v>
      </c>
      <c r="Y15" s="7">
        <v>0</v>
      </c>
      <c r="Z15" s="11">
        <v>96000</v>
      </c>
      <c r="AA15" s="11">
        <v>0</v>
      </c>
      <c r="AB15" s="11">
        <v>96000</v>
      </c>
      <c r="AC15" s="11">
        <v>432</v>
      </c>
      <c r="AD15" s="7">
        <v>0</v>
      </c>
      <c r="AE15" s="11">
        <v>96000</v>
      </c>
      <c r="AF15" s="11">
        <v>0</v>
      </c>
      <c r="AG15" s="11">
        <v>96000</v>
      </c>
      <c r="AH15" s="11">
        <v>432</v>
      </c>
      <c r="AI15" s="7">
        <v>0</v>
      </c>
      <c r="AJ15" s="11">
        <v>96000</v>
      </c>
      <c r="AK15" s="11">
        <v>0</v>
      </c>
      <c r="AL15" s="11">
        <v>96000</v>
      </c>
      <c r="AM15" s="11">
        <v>432</v>
      </c>
      <c r="AN15" s="7">
        <v>0</v>
      </c>
      <c r="AO15" s="11">
        <v>96000</v>
      </c>
      <c r="AP15" s="11">
        <v>0</v>
      </c>
      <c r="AQ15" s="11">
        <v>96000</v>
      </c>
      <c r="AR15" s="11">
        <v>432</v>
      </c>
      <c r="AS15" s="7">
        <v>0</v>
      </c>
    </row>
    <row r="16" spans="1:45" x14ac:dyDescent="0.3">
      <c r="A16" s="4" t="s">
        <v>39</v>
      </c>
      <c r="B16" s="4" t="s">
        <v>40</v>
      </c>
      <c r="C16" s="4" t="s">
        <v>15</v>
      </c>
      <c r="D16" s="5">
        <v>3.8E-3</v>
      </c>
      <c r="E16" s="6">
        <v>1320000</v>
      </c>
      <c r="F16" s="6">
        <v>0</v>
      </c>
      <c r="G16" s="6">
        <v>5016</v>
      </c>
      <c r="H16" s="6">
        <v>22.142900000000001</v>
      </c>
      <c r="I16" s="8" t="s">
        <v>16</v>
      </c>
      <c r="J16" s="24">
        <v>0</v>
      </c>
      <c r="K16" s="24">
        <v>0</v>
      </c>
      <c r="L16" s="24">
        <v>0</v>
      </c>
      <c r="M16" s="24">
        <v>0</v>
      </c>
      <c r="N16" s="25">
        <v>1</v>
      </c>
      <c r="O16" s="25">
        <v>1</v>
      </c>
      <c r="P16" s="6">
        <v>1320000</v>
      </c>
      <c r="Q16" s="6">
        <v>0</v>
      </c>
      <c r="R16" s="6">
        <v>1320000</v>
      </c>
      <c r="S16" s="6">
        <v>5016</v>
      </c>
      <c r="T16" s="7">
        <v>0</v>
      </c>
      <c r="U16" s="6">
        <v>1320000</v>
      </c>
      <c r="V16" s="6">
        <v>0</v>
      </c>
      <c r="W16" s="6">
        <v>1320000</v>
      </c>
      <c r="X16" s="6">
        <v>5016</v>
      </c>
      <c r="Y16" s="7">
        <v>0</v>
      </c>
      <c r="Z16" s="6">
        <v>1320000</v>
      </c>
      <c r="AA16" s="6">
        <v>0</v>
      </c>
      <c r="AB16" s="6">
        <v>1320000</v>
      </c>
      <c r="AC16" s="6">
        <v>5016</v>
      </c>
      <c r="AD16" s="7">
        <v>0</v>
      </c>
      <c r="AE16" s="6">
        <v>1320000</v>
      </c>
      <c r="AF16" s="6">
        <v>0</v>
      </c>
      <c r="AG16" s="6">
        <v>1320000</v>
      </c>
      <c r="AH16" s="6">
        <v>5016</v>
      </c>
      <c r="AI16" s="7">
        <v>0</v>
      </c>
      <c r="AJ16" s="6">
        <v>1320000</v>
      </c>
      <c r="AK16" s="6">
        <v>0</v>
      </c>
      <c r="AL16" s="6">
        <v>1320000</v>
      </c>
      <c r="AM16" s="6">
        <v>5016</v>
      </c>
      <c r="AN16" s="7">
        <v>0</v>
      </c>
      <c r="AO16" s="6">
        <v>1320000</v>
      </c>
      <c r="AP16" s="6">
        <v>0</v>
      </c>
      <c r="AQ16" s="6">
        <v>1320000</v>
      </c>
      <c r="AR16" s="6">
        <v>5016</v>
      </c>
      <c r="AS16" s="7">
        <v>0</v>
      </c>
    </row>
    <row r="17" spans="1:45" x14ac:dyDescent="0.3">
      <c r="A17" s="9" t="s">
        <v>41</v>
      </c>
      <c r="B17" s="9" t="s">
        <v>42</v>
      </c>
      <c r="C17" s="9" t="s">
        <v>15</v>
      </c>
      <c r="D17" s="10">
        <v>4.0000000000000001E-3</v>
      </c>
      <c r="E17" s="11">
        <v>0</v>
      </c>
      <c r="F17" s="11">
        <v>0</v>
      </c>
      <c r="G17" s="11">
        <v>0</v>
      </c>
      <c r="H17" s="11">
        <v>22.142900000000001</v>
      </c>
      <c r="I17" s="28" t="s">
        <v>133</v>
      </c>
      <c r="J17" s="26">
        <v>0</v>
      </c>
      <c r="K17" s="29">
        <v>1</v>
      </c>
      <c r="L17" s="26">
        <v>0</v>
      </c>
      <c r="M17" s="26">
        <v>0</v>
      </c>
      <c r="N17" s="29">
        <v>1</v>
      </c>
      <c r="O17" s="26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</row>
    <row r="18" spans="1:45" x14ac:dyDescent="0.3">
      <c r="A18" s="4" t="s">
        <v>43</v>
      </c>
      <c r="B18" s="4" t="s">
        <v>44</v>
      </c>
      <c r="C18" s="4" t="s">
        <v>15</v>
      </c>
      <c r="D18" s="5">
        <v>6.6E-3</v>
      </c>
      <c r="E18" s="6">
        <v>0</v>
      </c>
      <c r="F18" s="6">
        <v>0</v>
      </c>
      <c r="G18" s="6">
        <v>0</v>
      </c>
      <c r="H18" s="6">
        <v>22.142900000000001</v>
      </c>
      <c r="I18" s="28" t="s">
        <v>133</v>
      </c>
      <c r="J18" s="24">
        <v>0</v>
      </c>
      <c r="K18" s="29">
        <v>1</v>
      </c>
      <c r="L18" s="24">
        <v>0</v>
      </c>
      <c r="M18" s="24">
        <v>0</v>
      </c>
      <c r="N18" s="29">
        <v>1</v>
      </c>
      <c r="O18" s="24">
        <v>2</v>
      </c>
      <c r="P18" s="6">
        <v>0</v>
      </c>
      <c r="Q18" s="6">
        <v>0</v>
      </c>
      <c r="R18" s="6">
        <v>0</v>
      </c>
      <c r="S18" s="6">
        <v>0</v>
      </c>
      <c r="T18" s="7">
        <v>0</v>
      </c>
      <c r="U18" s="6">
        <v>0</v>
      </c>
      <c r="V18" s="6">
        <v>0</v>
      </c>
      <c r="W18" s="6">
        <v>0</v>
      </c>
      <c r="X18" s="6">
        <v>0</v>
      </c>
      <c r="Y18" s="7">
        <v>0</v>
      </c>
      <c r="Z18" s="6">
        <v>0</v>
      </c>
      <c r="AA18" s="6">
        <v>0</v>
      </c>
      <c r="AB18" s="6">
        <v>0</v>
      </c>
      <c r="AC18" s="6">
        <v>0</v>
      </c>
      <c r="AD18" s="7">
        <v>0</v>
      </c>
      <c r="AE18" s="6">
        <v>0</v>
      </c>
      <c r="AF18" s="6">
        <v>0</v>
      </c>
      <c r="AG18" s="6">
        <v>0</v>
      </c>
      <c r="AH18" s="6">
        <v>0</v>
      </c>
      <c r="AI18" s="7">
        <v>0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  <c r="AO18" s="6">
        <v>0</v>
      </c>
      <c r="AP18" s="6">
        <v>0</v>
      </c>
      <c r="AQ18" s="6">
        <v>0</v>
      </c>
      <c r="AR18" s="6">
        <v>0</v>
      </c>
      <c r="AS18" s="7">
        <v>0</v>
      </c>
    </row>
    <row r="19" spans="1:45" x14ac:dyDescent="0.3">
      <c r="A19" s="9" t="s">
        <v>45</v>
      </c>
      <c r="B19" s="9" t="s">
        <v>46</v>
      </c>
      <c r="C19" s="9" t="s">
        <v>15</v>
      </c>
      <c r="D19" s="10">
        <v>2.4899999999999999E-2</v>
      </c>
      <c r="E19" s="11">
        <v>896000</v>
      </c>
      <c r="F19" s="11">
        <v>256000</v>
      </c>
      <c r="G19" s="11">
        <v>22310.400000000001</v>
      </c>
      <c r="H19" s="11">
        <v>22.142900000000001</v>
      </c>
      <c r="I19" s="8" t="s">
        <v>16</v>
      </c>
      <c r="J19" s="26">
        <v>0</v>
      </c>
      <c r="K19" s="26">
        <v>0</v>
      </c>
      <c r="L19" s="26">
        <v>0</v>
      </c>
      <c r="M19" s="26">
        <v>0</v>
      </c>
      <c r="N19" s="25">
        <v>1</v>
      </c>
      <c r="O19" s="25">
        <v>1</v>
      </c>
      <c r="P19" s="11">
        <v>896000</v>
      </c>
      <c r="Q19" s="11">
        <v>42211.858800000002</v>
      </c>
      <c r="R19" s="11">
        <v>853788.14119999995</v>
      </c>
      <c r="S19" s="11">
        <v>21259.324700000001</v>
      </c>
      <c r="T19" s="7">
        <v>-1.07</v>
      </c>
      <c r="U19" s="11">
        <v>853788.14119999995</v>
      </c>
      <c r="V19" s="11">
        <v>42757.628199999999</v>
      </c>
      <c r="W19" s="11">
        <v>811030.51300000004</v>
      </c>
      <c r="X19" s="11">
        <v>20194.659800000001</v>
      </c>
      <c r="Y19" s="7">
        <v>0.21</v>
      </c>
      <c r="Z19" s="11">
        <v>811030.51300000004</v>
      </c>
      <c r="AA19" s="11">
        <v>43030.512999999999</v>
      </c>
      <c r="AB19" s="11">
        <v>768000</v>
      </c>
      <c r="AC19" s="11">
        <v>19123.2</v>
      </c>
      <c r="AD19" s="7">
        <v>0.85</v>
      </c>
      <c r="AE19" s="11">
        <v>768000</v>
      </c>
      <c r="AF19" s="11">
        <v>43030.512999999999</v>
      </c>
      <c r="AG19" s="11">
        <v>724969.48699999996</v>
      </c>
      <c r="AH19" s="11">
        <v>18051.7402</v>
      </c>
      <c r="AI19" s="7">
        <v>0.85</v>
      </c>
      <c r="AJ19" s="11">
        <v>724969.48699999996</v>
      </c>
      <c r="AK19" s="11">
        <v>42757.628199999999</v>
      </c>
      <c r="AL19" s="11">
        <v>682211.85880000005</v>
      </c>
      <c r="AM19" s="11">
        <v>16987.0753</v>
      </c>
      <c r="AN19" s="7">
        <v>0.21</v>
      </c>
      <c r="AO19" s="11">
        <v>682211.85880000005</v>
      </c>
      <c r="AP19" s="11">
        <v>42211.858800000002</v>
      </c>
      <c r="AQ19" s="11">
        <v>640000</v>
      </c>
      <c r="AR19" s="11">
        <v>15936</v>
      </c>
      <c r="AS19" s="7">
        <v>-1.07</v>
      </c>
    </row>
    <row r="20" spans="1:45" x14ac:dyDescent="0.3">
      <c r="A20" s="4" t="s">
        <v>47</v>
      </c>
      <c r="B20" s="4" t="s">
        <v>48</v>
      </c>
      <c r="C20" s="4" t="s">
        <v>15</v>
      </c>
      <c r="D20" s="5">
        <v>7.2999999999999995E-2</v>
      </c>
      <c r="E20" s="6">
        <v>50000</v>
      </c>
      <c r="F20" s="6">
        <v>0</v>
      </c>
      <c r="G20" s="6">
        <v>3650</v>
      </c>
      <c r="H20" s="6">
        <v>22.142900000000001</v>
      </c>
      <c r="I20" s="8" t="s">
        <v>16</v>
      </c>
      <c r="J20" s="24">
        <v>0</v>
      </c>
      <c r="K20" s="24">
        <v>0</v>
      </c>
      <c r="L20" s="24">
        <v>0</v>
      </c>
      <c r="M20" s="24">
        <v>0</v>
      </c>
      <c r="N20" s="25">
        <v>1</v>
      </c>
      <c r="O20" s="25">
        <v>1</v>
      </c>
      <c r="P20" s="6">
        <v>50000</v>
      </c>
      <c r="Q20" s="6">
        <v>0</v>
      </c>
      <c r="R20" s="6">
        <v>50000</v>
      </c>
      <c r="S20" s="6">
        <v>3650</v>
      </c>
      <c r="T20" s="7">
        <v>0</v>
      </c>
      <c r="U20" s="6">
        <v>50000</v>
      </c>
      <c r="V20" s="6">
        <v>0</v>
      </c>
      <c r="W20" s="6">
        <v>50000</v>
      </c>
      <c r="X20" s="6">
        <v>3650</v>
      </c>
      <c r="Y20" s="7">
        <v>0</v>
      </c>
      <c r="Z20" s="6">
        <v>50000</v>
      </c>
      <c r="AA20" s="6">
        <v>0</v>
      </c>
      <c r="AB20" s="6">
        <v>50000</v>
      </c>
      <c r="AC20" s="6">
        <v>3650</v>
      </c>
      <c r="AD20" s="7">
        <v>0</v>
      </c>
      <c r="AE20" s="6">
        <v>50000</v>
      </c>
      <c r="AF20" s="6">
        <v>0</v>
      </c>
      <c r="AG20" s="6">
        <v>50000</v>
      </c>
      <c r="AH20" s="6">
        <v>3650</v>
      </c>
      <c r="AI20" s="7">
        <v>0</v>
      </c>
      <c r="AJ20" s="6">
        <v>50000</v>
      </c>
      <c r="AK20" s="6">
        <v>0</v>
      </c>
      <c r="AL20" s="6">
        <v>50000</v>
      </c>
      <c r="AM20" s="6">
        <v>3650</v>
      </c>
      <c r="AN20" s="7">
        <v>0</v>
      </c>
      <c r="AO20" s="6">
        <v>50000</v>
      </c>
      <c r="AP20" s="6">
        <v>0</v>
      </c>
      <c r="AQ20" s="6">
        <v>50000</v>
      </c>
      <c r="AR20" s="6">
        <v>3650</v>
      </c>
      <c r="AS20" s="7">
        <v>0</v>
      </c>
    </row>
    <row r="21" spans="1:45" x14ac:dyDescent="0.3">
      <c r="A21" s="9" t="s">
        <v>49</v>
      </c>
      <c r="B21" s="9" t="s">
        <v>50</v>
      </c>
      <c r="C21" s="9" t="s">
        <v>15</v>
      </c>
      <c r="D21" s="10">
        <v>1.4E-2</v>
      </c>
      <c r="E21" s="11">
        <v>57600</v>
      </c>
      <c r="F21" s="11">
        <v>0</v>
      </c>
      <c r="G21" s="11">
        <v>806.4</v>
      </c>
      <c r="H21" s="11">
        <v>22.142900000000001</v>
      </c>
      <c r="I21" s="8" t="s">
        <v>16</v>
      </c>
      <c r="J21" s="26">
        <v>0</v>
      </c>
      <c r="K21" s="26">
        <v>0</v>
      </c>
      <c r="L21" s="26">
        <v>0</v>
      </c>
      <c r="M21" s="26">
        <v>0</v>
      </c>
      <c r="N21" s="25">
        <v>1</v>
      </c>
      <c r="O21" s="25">
        <v>1</v>
      </c>
      <c r="P21" s="11">
        <v>57600</v>
      </c>
      <c r="Q21" s="11">
        <v>0</v>
      </c>
      <c r="R21" s="11">
        <v>57600</v>
      </c>
      <c r="S21" s="11">
        <v>806.4</v>
      </c>
      <c r="T21" s="7">
        <v>0</v>
      </c>
      <c r="U21" s="11">
        <v>57600</v>
      </c>
      <c r="V21" s="11">
        <v>0</v>
      </c>
      <c r="W21" s="11">
        <v>57600</v>
      </c>
      <c r="X21" s="11">
        <v>806.4</v>
      </c>
      <c r="Y21" s="7">
        <v>0</v>
      </c>
      <c r="Z21" s="11">
        <v>57600</v>
      </c>
      <c r="AA21" s="11">
        <v>0</v>
      </c>
      <c r="AB21" s="11">
        <v>57600</v>
      </c>
      <c r="AC21" s="11">
        <v>806.4</v>
      </c>
      <c r="AD21" s="7">
        <v>0</v>
      </c>
      <c r="AE21" s="11">
        <v>57600</v>
      </c>
      <c r="AF21" s="11">
        <v>0</v>
      </c>
      <c r="AG21" s="11">
        <v>57600</v>
      </c>
      <c r="AH21" s="11">
        <v>806.4</v>
      </c>
      <c r="AI21" s="7">
        <v>0</v>
      </c>
      <c r="AJ21" s="11">
        <v>57600</v>
      </c>
      <c r="AK21" s="11">
        <v>0</v>
      </c>
      <c r="AL21" s="11">
        <v>57600</v>
      </c>
      <c r="AM21" s="11">
        <v>806.4</v>
      </c>
      <c r="AN21" s="7">
        <v>0</v>
      </c>
      <c r="AO21" s="11">
        <v>57600</v>
      </c>
      <c r="AP21" s="11">
        <v>0</v>
      </c>
      <c r="AQ21" s="11">
        <v>57600</v>
      </c>
      <c r="AR21" s="11">
        <v>806.4</v>
      </c>
      <c r="AS21" s="7">
        <v>0</v>
      </c>
    </row>
    <row r="22" spans="1:45" x14ac:dyDescent="0.3">
      <c r="A22" s="4" t="s">
        <v>51</v>
      </c>
      <c r="B22" s="4" t="s">
        <v>52</v>
      </c>
      <c r="C22" s="4" t="s">
        <v>15</v>
      </c>
      <c r="D22" s="5">
        <v>0.2041</v>
      </c>
      <c r="E22" s="6">
        <v>60600</v>
      </c>
      <c r="F22" s="6">
        <v>100</v>
      </c>
      <c r="G22" s="6">
        <v>12368.46</v>
      </c>
      <c r="H22" s="6">
        <v>22.142900000000001</v>
      </c>
      <c r="I22" s="12" t="s">
        <v>53</v>
      </c>
      <c r="J22" s="24">
        <v>0</v>
      </c>
      <c r="K22" s="24">
        <v>0</v>
      </c>
      <c r="L22" s="27">
        <v>1</v>
      </c>
      <c r="M22" s="24">
        <v>0</v>
      </c>
      <c r="N22" s="24">
        <v>0</v>
      </c>
      <c r="O22" s="27">
        <v>1</v>
      </c>
      <c r="P22" s="6">
        <v>60600</v>
      </c>
      <c r="Q22" s="6">
        <v>16.489000000000001</v>
      </c>
      <c r="R22" s="6">
        <v>60583.510999999999</v>
      </c>
      <c r="S22" s="6">
        <v>12365.0946</v>
      </c>
      <c r="T22" s="7">
        <v>-1.07</v>
      </c>
      <c r="U22" s="6">
        <v>60583.510999999999</v>
      </c>
      <c r="V22" s="6">
        <v>16.702200000000001</v>
      </c>
      <c r="W22" s="6">
        <v>60566.808799999999</v>
      </c>
      <c r="X22" s="6">
        <v>12361.6857</v>
      </c>
      <c r="Y22" s="7">
        <v>0.21</v>
      </c>
      <c r="Z22" s="6">
        <v>60566.808799999999</v>
      </c>
      <c r="AA22" s="6">
        <v>16.808800000000002</v>
      </c>
      <c r="AB22" s="6">
        <v>60550</v>
      </c>
      <c r="AC22" s="6">
        <v>12358.254999999999</v>
      </c>
      <c r="AD22" s="7">
        <v>0.85</v>
      </c>
      <c r="AE22" s="6">
        <v>60550</v>
      </c>
      <c r="AF22" s="6">
        <v>16.808800000000002</v>
      </c>
      <c r="AG22" s="6">
        <v>60533.191200000001</v>
      </c>
      <c r="AH22" s="6">
        <v>12354.8243</v>
      </c>
      <c r="AI22" s="7">
        <v>0.85</v>
      </c>
      <c r="AJ22" s="6">
        <v>60533.191200000001</v>
      </c>
      <c r="AK22" s="6">
        <v>16.702200000000001</v>
      </c>
      <c r="AL22" s="6">
        <v>60516.489000000001</v>
      </c>
      <c r="AM22" s="6">
        <v>12351.4154</v>
      </c>
      <c r="AN22" s="7">
        <v>0.21</v>
      </c>
      <c r="AO22" s="6">
        <v>60516.489000000001</v>
      </c>
      <c r="AP22" s="6">
        <v>16.489000000000001</v>
      </c>
      <c r="AQ22" s="6">
        <v>60500</v>
      </c>
      <c r="AR22" s="6">
        <v>12348.05</v>
      </c>
      <c r="AS22" s="7">
        <v>-1.07</v>
      </c>
    </row>
    <row r="23" spans="1:45" x14ac:dyDescent="0.3">
      <c r="A23" s="9" t="s">
        <v>54</v>
      </c>
      <c r="B23" s="9" t="s">
        <v>55</v>
      </c>
      <c r="C23" s="9" t="s">
        <v>15</v>
      </c>
      <c r="D23" s="10">
        <v>0.28610000000000002</v>
      </c>
      <c r="E23" s="11">
        <v>146684</v>
      </c>
      <c r="F23" s="11">
        <v>0</v>
      </c>
      <c r="G23" s="11">
        <v>41966.292399999998</v>
      </c>
      <c r="H23" s="11">
        <v>22.142900000000001</v>
      </c>
      <c r="I23" s="12" t="s">
        <v>53</v>
      </c>
      <c r="J23" s="26">
        <v>0</v>
      </c>
      <c r="K23" s="26">
        <v>0</v>
      </c>
      <c r="L23" s="27">
        <v>1</v>
      </c>
      <c r="M23" s="26">
        <v>0</v>
      </c>
      <c r="N23" s="26">
        <v>0</v>
      </c>
      <c r="O23" s="27">
        <v>1</v>
      </c>
      <c r="P23" s="11">
        <v>146684</v>
      </c>
      <c r="Q23" s="11">
        <v>0</v>
      </c>
      <c r="R23" s="11">
        <v>146684</v>
      </c>
      <c r="S23" s="11">
        <v>41966.292399999998</v>
      </c>
      <c r="T23" s="7">
        <v>0</v>
      </c>
      <c r="U23" s="11">
        <v>146684</v>
      </c>
      <c r="V23" s="11">
        <v>0</v>
      </c>
      <c r="W23" s="11">
        <v>146684</v>
      </c>
      <c r="X23" s="11">
        <v>41966.292399999998</v>
      </c>
      <c r="Y23" s="7">
        <v>0</v>
      </c>
      <c r="Z23" s="11">
        <v>146684</v>
      </c>
      <c r="AA23" s="11">
        <v>0</v>
      </c>
      <c r="AB23" s="11">
        <v>146684</v>
      </c>
      <c r="AC23" s="11">
        <v>41966.292399999998</v>
      </c>
      <c r="AD23" s="7">
        <v>0</v>
      </c>
      <c r="AE23" s="11">
        <v>146684</v>
      </c>
      <c r="AF23" s="11">
        <v>0</v>
      </c>
      <c r="AG23" s="11">
        <v>146684</v>
      </c>
      <c r="AH23" s="11">
        <v>41966.292399999998</v>
      </c>
      <c r="AI23" s="7">
        <v>0</v>
      </c>
      <c r="AJ23" s="11">
        <v>146684</v>
      </c>
      <c r="AK23" s="11">
        <v>0</v>
      </c>
      <c r="AL23" s="11">
        <v>146684</v>
      </c>
      <c r="AM23" s="11">
        <v>41966.292399999998</v>
      </c>
      <c r="AN23" s="7">
        <v>0</v>
      </c>
      <c r="AO23" s="11">
        <v>146684</v>
      </c>
      <c r="AP23" s="11">
        <v>0</v>
      </c>
      <c r="AQ23" s="11">
        <v>146684</v>
      </c>
      <c r="AR23" s="11">
        <v>41966.292399999998</v>
      </c>
      <c r="AS23" s="7">
        <v>0</v>
      </c>
    </row>
    <row r="24" spans="1:45" x14ac:dyDescent="0.3">
      <c r="A24" s="4" t="s">
        <v>56</v>
      </c>
      <c r="B24" s="4" t="s">
        <v>57</v>
      </c>
      <c r="C24" s="4" t="s">
        <v>15</v>
      </c>
      <c r="D24" s="5">
        <v>4.19E-2</v>
      </c>
      <c r="E24" s="6">
        <v>93700</v>
      </c>
      <c r="F24" s="6">
        <v>0</v>
      </c>
      <c r="G24" s="6">
        <v>3926.03</v>
      </c>
      <c r="H24" s="6">
        <v>22.142900000000001</v>
      </c>
      <c r="I24" s="12" t="s">
        <v>53</v>
      </c>
      <c r="J24" s="24">
        <v>0</v>
      </c>
      <c r="K24" s="24">
        <v>0</v>
      </c>
      <c r="L24" s="27">
        <v>1</v>
      </c>
      <c r="M24" s="24">
        <v>0</v>
      </c>
      <c r="N24" s="24">
        <v>0</v>
      </c>
      <c r="O24" s="27">
        <v>1</v>
      </c>
      <c r="P24" s="6">
        <v>93700</v>
      </c>
      <c r="Q24" s="6">
        <v>0</v>
      </c>
      <c r="R24" s="6">
        <v>93700</v>
      </c>
      <c r="S24" s="6">
        <v>3926.03</v>
      </c>
      <c r="T24" s="7">
        <v>0</v>
      </c>
      <c r="U24" s="6">
        <v>93700</v>
      </c>
      <c r="V24" s="6">
        <v>0</v>
      </c>
      <c r="W24" s="6">
        <v>93700</v>
      </c>
      <c r="X24" s="6">
        <v>3926.03</v>
      </c>
      <c r="Y24" s="7">
        <v>0</v>
      </c>
      <c r="Z24" s="6">
        <v>93700</v>
      </c>
      <c r="AA24" s="6">
        <v>0</v>
      </c>
      <c r="AB24" s="6">
        <v>93700</v>
      </c>
      <c r="AC24" s="6">
        <v>3926.03</v>
      </c>
      <c r="AD24" s="7">
        <v>0</v>
      </c>
      <c r="AE24" s="6">
        <v>93700</v>
      </c>
      <c r="AF24" s="6">
        <v>0</v>
      </c>
      <c r="AG24" s="6">
        <v>93700</v>
      </c>
      <c r="AH24" s="6">
        <v>3926.03</v>
      </c>
      <c r="AI24" s="7">
        <v>0</v>
      </c>
      <c r="AJ24" s="6">
        <v>93700</v>
      </c>
      <c r="AK24" s="6">
        <v>0</v>
      </c>
      <c r="AL24" s="6">
        <v>93700</v>
      </c>
      <c r="AM24" s="6">
        <v>3926.03</v>
      </c>
      <c r="AN24" s="7">
        <v>0</v>
      </c>
      <c r="AO24" s="6">
        <v>93700</v>
      </c>
      <c r="AP24" s="6">
        <v>0</v>
      </c>
      <c r="AQ24" s="6">
        <v>93700</v>
      </c>
      <c r="AR24" s="6">
        <v>3926.03</v>
      </c>
      <c r="AS24" s="7">
        <v>0</v>
      </c>
    </row>
    <row r="25" spans="1:45" x14ac:dyDescent="0.3">
      <c r="A25" s="9" t="s">
        <v>58</v>
      </c>
      <c r="B25" s="9" t="s">
        <v>59</v>
      </c>
      <c r="C25" s="9" t="s">
        <v>60</v>
      </c>
      <c r="D25" s="10">
        <v>5.6899999999999999E-2</v>
      </c>
      <c r="E25" s="11">
        <v>32500</v>
      </c>
      <c r="F25" s="11">
        <v>0</v>
      </c>
      <c r="G25" s="11">
        <v>1849.25</v>
      </c>
      <c r="H25" s="11">
        <v>0.85709999999999997</v>
      </c>
      <c r="I25" s="12" t="s">
        <v>53</v>
      </c>
      <c r="J25" s="26">
        <v>0</v>
      </c>
      <c r="K25" s="26">
        <v>0</v>
      </c>
      <c r="L25" s="27">
        <v>1</v>
      </c>
      <c r="M25" s="26">
        <v>0</v>
      </c>
      <c r="N25" s="26">
        <v>0</v>
      </c>
      <c r="O25" s="27">
        <v>1</v>
      </c>
      <c r="P25" s="11">
        <v>32500</v>
      </c>
      <c r="Q25" s="11">
        <v>0</v>
      </c>
      <c r="R25" s="11">
        <v>32500</v>
      </c>
      <c r="S25" s="11">
        <v>1849.25</v>
      </c>
      <c r="T25" s="7">
        <v>0</v>
      </c>
      <c r="U25" s="11">
        <v>32500</v>
      </c>
      <c r="V25" s="11">
        <v>0</v>
      </c>
      <c r="W25" s="11">
        <v>32500</v>
      </c>
      <c r="X25" s="11">
        <v>1849.25</v>
      </c>
      <c r="Y25" s="7">
        <v>0</v>
      </c>
      <c r="Z25" s="11">
        <v>32500</v>
      </c>
      <c r="AA25" s="11">
        <v>0</v>
      </c>
      <c r="AB25" s="11">
        <v>32500</v>
      </c>
      <c r="AC25" s="11">
        <v>1849.25</v>
      </c>
      <c r="AD25" s="7">
        <v>0</v>
      </c>
      <c r="AE25" s="11">
        <v>32500</v>
      </c>
      <c r="AF25" s="11">
        <v>0</v>
      </c>
      <c r="AG25" s="11">
        <v>32500</v>
      </c>
      <c r="AH25" s="11">
        <v>1849.25</v>
      </c>
      <c r="AI25" s="7">
        <v>0</v>
      </c>
      <c r="AJ25" s="11">
        <v>32500</v>
      </c>
      <c r="AK25" s="11">
        <v>0</v>
      </c>
      <c r="AL25" s="11">
        <v>32500</v>
      </c>
      <c r="AM25" s="11">
        <v>1849.25</v>
      </c>
      <c r="AN25" s="7">
        <v>0</v>
      </c>
      <c r="AO25" s="11">
        <v>32500</v>
      </c>
      <c r="AP25" s="11">
        <v>0</v>
      </c>
      <c r="AQ25" s="11">
        <v>32500</v>
      </c>
      <c r="AR25" s="11">
        <v>1849.25</v>
      </c>
      <c r="AS25" s="7">
        <v>0</v>
      </c>
    </row>
    <row r="26" spans="1:45" x14ac:dyDescent="0.3">
      <c r="A26" s="4" t="s">
        <v>61</v>
      </c>
      <c r="B26" s="4" t="s">
        <v>62</v>
      </c>
      <c r="C26" s="4" t="s">
        <v>15</v>
      </c>
      <c r="D26" s="5">
        <v>2.7699999999999999E-2</v>
      </c>
      <c r="E26" s="6">
        <v>32000</v>
      </c>
      <c r="F26" s="6">
        <v>0</v>
      </c>
      <c r="G26" s="6">
        <v>886.4</v>
      </c>
      <c r="H26" s="6">
        <v>22.142900000000001</v>
      </c>
      <c r="I26" s="8" t="s">
        <v>16</v>
      </c>
      <c r="J26" s="24">
        <v>0</v>
      </c>
      <c r="K26" s="24">
        <v>0</v>
      </c>
      <c r="L26" s="24">
        <v>0</v>
      </c>
      <c r="M26" s="24">
        <v>0</v>
      </c>
      <c r="N26" s="25">
        <v>1</v>
      </c>
      <c r="O26" s="25">
        <v>1</v>
      </c>
      <c r="P26" s="6">
        <v>32000</v>
      </c>
      <c r="Q26" s="6">
        <v>0</v>
      </c>
      <c r="R26" s="6">
        <v>32000</v>
      </c>
      <c r="S26" s="6">
        <v>886.4</v>
      </c>
      <c r="T26" s="7">
        <v>0</v>
      </c>
      <c r="U26" s="6">
        <v>32000</v>
      </c>
      <c r="V26" s="6">
        <v>0</v>
      </c>
      <c r="W26" s="6">
        <v>32000</v>
      </c>
      <c r="X26" s="6">
        <v>886.4</v>
      </c>
      <c r="Y26" s="7">
        <v>0</v>
      </c>
      <c r="Z26" s="6">
        <v>32000</v>
      </c>
      <c r="AA26" s="6">
        <v>0</v>
      </c>
      <c r="AB26" s="6">
        <v>32000</v>
      </c>
      <c r="AC26" s="6">
        <v>886.4</v>
      </c>
      <c r="AD26" s="7">
        <v>0</v>
      </c>
      <c r="AE26" s="6">
        <v>32000</v>
      </c>
      <c r="AF26" s="6">
        <v>0</v>
      </c>
      <c r="AG26" s="6">
        <v>32000</v>
      </c>
      <c r="AH26" s="6">
        <v>886.4</v>
      </c>
      <c r="AI26" s="7">
        <v>0</v>
      </c>
      <c r="AJ26" s="6">
        <v>32000</v>
      </c>
      <c r="AK26" s="6">
        <v>0</v>
      </c>
      <c r="AL26" s="6">
        <v>32000</v>
      </c>
      <c r="AM26" s="6">
        <v>886.4</v>
      </c>
      <c r="AN26" s="7">
        <v>0</v>
      </c>
      <c r="AO26" s="6">
        <v>32000</v>
      </c>
      <c r="AP26" s="6">
        <v>0</v>
      </c>
      <c r="AQ26" s="6">
        <v>32000</v>
      </c>
      <c r="AR26" s="6">
        <v>886.4</v>
      </c>
      <c r="AS26" s="7">
        <v>0</v>
      </c>
    </row>
    <row r="27" spans="1:45" x14ac:dyDescent="0.3">
      <c r="A27" s="9" t="s">
        <v>63</v>
      </c>
      <c r="B27" s="9" t="s">
        <v>64</v>
      </c>
      <c r="C27" s="9" t="s">
        <v>15</v>
      </c>
      <c r="D27" s="10">
        <v>1.47E-2</v>
      </c>
      <c r="E27" s="11">
        <v>0</v>
      </c>
      <c r="F27" s="11">
        <v>0</v>
      </c>
      <c r="G27" s="11">
        <v>0</v>
      </c>
      <c r="H27" s="11">
        <v>22.142900000000001</v>
      </c>
      <c r="I27" s="28" t="s">
        <v>133</v>
      </c>
      <c r="J27" s="26">
        <v>0</v>
      </c>
      <c r="K27" s="29">
        <v>1</v>
      </c>
      <c r="L27" s="29">
        <v>1</v>
      </c>
      <c r="M27" s="26">
        <v>0</v>
      </c>
      <c r="N27" s="26">
        <v>0</v>
      </c>
      <c r="O27" s="26">
        <v>2</v>
      </c>
      <c r="P27" s="11">
        <v>0</v>
      </c>
      <c r="Q27" s="11">
        <v>0</v>
      </c>
      <c r="R27" s="11">
        <v>0</v>
      </c>
      <c r="S27" s="11">
        <v>0</v>
      </c>
      <c r="T27" s="7">
        <v>0</v>
      </c>
      <c r="U27" s="11">
        <v>0</v>
      </c>
      <c r="V27" s="11">
        <v>0</v>
      </c>
      <c r="W27" s="11">
        <v>0</v>
      </c>
      <c r="X27" s="11">
        <v>0</v>
      </c>
      <c r="Y27" s="7">
        <v>0</v>
      </c>
      <c r="Z27" s="11">
        <v>0</v>
      </c>
      <c r="AA27" s="11">
        <v>0</v>
      </c>
      <c r="AB27" s="11">
        <v>0</v>
      </c>
      <c r="AC27" s="11">
        <v>0</v>
      </c>
      <c r="AD27" s="7">
        <v>0</v>
      </c>
      <c r="AE27" s="11">
        <v>0</v>
      </c>
      <c r="AF27" s="11">
        <v>0</v>
      </c>
      <c r="AG27" s="11">
        <v>0</v>
      </c>
      <c r="AH27" s="11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7">
        <v>0</v>
      </c>
      <c r="AO27" s="11">
        <v>0</v>
      </c>
      <c r="AP27" s="11">
        <v>0</v>
      </c>
      <c r="AQ27" s="11">
        <v>0</v>
      </c>
      <c r="AR27" s="11">
        <v>0</v>
      </c>
      <c r="AS27" s="7">
        <v>0</v>
      </c>
    </row>
    <row r="28" spans="1:45" x14ac:dyDescent="0.3">
      <c r="A28" s="4" t="s">
        <v>65</v>
      </c>
      <c r="B28" s="4" t="s">
        <v>66</v>
      </c>
      <c r="C28" s="4" t="s">
        <v>15</v>
      </c>
      <c r="D28" s="5">
        <v>1.47E-2</v>
      </c>
      <c r="E28" s="6">
        <v>0</v>
      </c>
      <c r="F28" s="6">
        <v>0</v>
      </c>
      <c r="G28" s="6">
        <v>0</v>
      </c>
      <c r="H28" s="6">
        <v>22.142900000000001</v>
      </c>
      <c r="I28" s="28" t="s">
        <v>133</v>
      </c>
      <c r="J28" s="24">
        <v>0</v>
      </c>
      <c r="K28" s="29">
        <v>1</v>
      </c>
      <c r="L28" s="29">
        <v>1</v>
      </c>
      <c r="M28" s="24">
        <v>0</v>
      </c>
      <c r="N28" s="24">
        <v>0</v>
      </c>
      <c r="O28" s="24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</row>
    <row r="29" spans="1:45" x14ac:dyDescent="0.3">
      <c r="A29" s="9" t="s">
        <v>67</v>
      </c>
      <c r="B29" s="9" t="s">
        <v>68</v>
      </c>
      <c r="C29" s="9" t="s">
        <v>69</v>
      </c>
      <c r="D29" s="10">
        <v>10.42</v>
      </c>
      <c r="E29" s="11">
        <v>8762.5400000000009</v>
      </c>
      <c r="F29" s="11">
        <v>3448.68</v>
      </c>
      <c r="G29" s="11">
        <v>91305.666800000006</v>
      </c>
      <c r="H29" s="11">
        <v>0.35709999999999997</v>
      </c>
      <c r="I29" s="8" t="s">
        <v>16</v>
      </c>
      <c r="J29" s="26">
        <v>0</v>
      </c>
      <c r="K29" s="26">
        <v>0</v>
      </c>
      <c r="L29" s="26">
        <v>0</v>
      </c>
      <c r="M29" s="26">
        <v>0</v>
      </c>
      <c r="N29" s="25">
        <v>1</v>
      </c>
      <c r="O29" s="25">
        <v>1</v>
      </c>
      <c r="P29" s="11">
        <v>8762.5400000000009</v>
      </c>
      <c r="Q29" s="11">
        <v>568.65309999999999</v>
      </c>
      <c r="R29" s="11">
        <v>8193.8868999999995</v>
      </c>
      <c r="S29" s="11">
        <v>85380.301500000001</v>
      </c>
      <c r="T29" s="7">
        <v>-1.07</v>
      </c>
      <c r="U29" s="11">
        <v>8193.8868999999995</v>
      </c>
      <c r="V29" s="11">
        <v>576.00540000000001</v>
      </c>
      <c r="W29" s="11">
        <v>7617.8815000000004</v>
      </c>
      <c r="X29" s="11">
        <v>79378.325200000007</v>
      </c>
      <c r="Y29" s="7">
        <v>0.21</v>
      </c>
      <c r="Z29" s="11">
        <v>7617.8815000000004</v>
      </c>
      <c r="AA29" s="11">
        <v>579.68150000000003</v>
      </c>
      <c r="AB29" s="11">
        <v>7038.2</v>
      </c>
      <c r="AC29" s="11">
        <v>73338.043999999994</v>
      </c>
      <c r="AD29" s="7">
        <v>0.85</v>
      </c>
      <c r="AE29" s="11">
        <v>7038.2</v>
      </c>
      <c r="AF29" s="11">
        <v>579.68150000000003</v>
      </c>
      <c r="AG29" s="11">
        <v>6458.5185000000001</v>
      </c>
      <c r="AH29" s="11">
        <v>67297.762799999997</v>
      </c>
      <c r="AI29" s="7">
        <v>0.85</v>
      </c>
      <c r="AJ29" s="11">
        <v>6458.5185000000001</v>
      </c>
      <c r="AK29" s="11">
        <v>576.00540000000001</v>
      </c>
      <c r="AL29" s="11">
        <v>5882.5131000000001</v>
      </c>
      <c r="AM29" s="11">
        <v>61295.786500000002</v>
      </c>
      <c r="AN29" s="7">
        <v>0.21</v>
      </c>
      <c r="AO29" s="11">
        <v>5882.5131000000001</v>
      </c>
      <c r="AP29" s="11">
        <v>568.65309999999999</v>
      </c>
      <c r="AQ29" s="11">
        <v>5313.86</v>
      </c>
      <c r="AR29" s="11">
        <v>55370.421199999997</v>
      </c>
      <c r="AS29" s="7">
        <v>-1.07</v>
      </c>
    </row>
    <row r="30" spans="1:45" x14ac:dyDescent="0.3">
      <c r="A30" s="4" t="s">
        <v>70</v>
      </c>
      <c r="B30" s="4" t="s">
        <v>71</v>
      </c>
      <c r="C30" s="4" t="s">
        <v>15</v>
      </c>
      <c r="D30" s="5">
        <v>3.0499999999999999E-2</v>
      </c>
      <c r="E30" s="6">
        <v>547500</v>
      </c>
      <c r="F30" s="6">
        <v>0</v>
      </c>
      <c r="G30" s="6">
        <v>16698.75</v>
      </c>
      <c r="H30" s="6">
        <v>22.142900000000001</v>
      </c>
      <c r="I30" s="12" t="s">
        <v>53</v>
      </c>
      <c r="J30" s="24">
        <v>0</v>
      </c>
      <c r="K30" s="24">
        <v>0</v>
      </c>
      <c r="L30" s="27">
        <v>1</v>
      </c>
      <c r="M30" s="24">
        <v>0</v>
      </c>
      <c r="N30" s="24">
        <v>0</v>
      </c>
      <c r="O30" s="27">
        <v>1</v>
      </c>
      <c r="P30" s="6">
        <v>547500</v>
      </c>
      <c r="Q30" s="6">
        <v>0</v>
      </c>
      <c r="R30" s="6">
        <v>547500</v>
      </c>
      <c r="S30" s="6">
        <v>16698.75</v>
      </c>
      <c r="T30" s="7">
        <v>0</v>
      </c>
      <c r="U30" s="6">
        <v>547500</v>
      </c>
      <c r="V30" s="6">
        <v>0</v>
      </c>
      <c r="W30" s="6">
        <v>547500</v>
      </c>
      <c r="X30" s="6">
        <v>16698.75</v>
      </c>
      <c r="Y30" s="7">
        <v>0</v>
      </c>
      <c r="Z30" s="6">
        <v>547500</v>
      </c>
      <c r="AA30" s="6">
        <v>0</v>
      </c>
      <c r="AB30" s="6">
        <v>547500</v>
      </c>
      <c r="AC30" s="6">
        <v>16698.75</v>
      </c>
      <c r="AD30" s="7">
        <v>0</v>
      </c>
      <c r="AE30" s="6">
        <v>547500</v>
      </c>
      <c r="AF30" s="6">
        <v>0</v>
      </c>
      <c r="AG30" s="6">
        <v>547500</v>
      </c>
      <c r="AH30" s="6">
        <v>16698.75</v>
      </c>
      <c r="AI30" s="7">
        <v>0</v>
      </c>
      <c r="AJ30" s="6">
        <v>547500</v>
      </c>
      <c r="AK30" s="6">
        <v>0</v>
      </c>
      <c r="AL30" s="6">
        <v>547500</v>
      </c>
      <c r="AM30" s="6">
        <v>16698.75</v>
      </c>
      <c r="AN30" s="7">
        <v>0</v>
      </c>
      <c r="AO30" s="6">
        <v>547500</v>
      </c>
      <c r="AP30" s="6">
        <v>0</v>
      </c>
      <c r="AQ30" s="6">
        <v>547500</v>
      </c>
      <c r="AR30" s="6">
        <v>16698.75</v>
      </c>
      <c r="AS30" s="7">
        <v>0</v>
      </c>
    </row>
    <row r="31" spans="1:45" x14ac:dyDescent="0.3">
      <c r="A31" s="9" t="s">
        <v>72</v>
      </c>
      <c r="B31" s="9" t="s">
        <v>73</v>
      </c>
      <c r="C31" s="9" t="s">
        <v>69</v>
      </c>
      <c r="D31" s="10">
        <v>10.6</v>
      </c>
      <c r="E31" s="11">
        <v>3158.92</v>
      </c>
      <c r="F31" s="11">
        <v>1467.88</v>
      </c>
      <c r="G31" s="11">
        <v>33484.552000000003</v>
      </c>
      <c r="H31" s="11">
        <v>0.35709999999999997</v>
      </c>
      <c r="I31" s="8" t="s">
        <v>16</v>
      </c>
      <c r="J31" s="26">
        <v>0</v>
      </c>
      <c r="K31" s="26">
        <v>0</v>
      </c>
      <c r="L31" s="26">
        <v>0</v>
      </c>
      <c r="M31" s="26">
        <v>0</v>
      </c>
      <c r="N31" s="25">
        <v>1</v>
      </c>
      <c r="O31" s="25">
        <v>1</v>
      </c>
      <c r="P31" s="11">
        <v>3158.92</v>
      </c>
      <c r="Q31" s="11">
        <v>242.03880000000001</v>
      </c>
      <c r="R31" s="11">
        <v>2916.8811999999998</v>
      </c>
      <c r="S31" s="11">
        <v>30918.940699999999</v>
      </c>
      <c r="T31" s="7">
        <v>-1.07</v>
      </c>
      <c r="U31" s="11">
        <v>2916.8811999999998</v>
      </c>
      <c r="V31" s="11">
        <v>245.16829999999999</v>
      </c>
      <c r="W31" s="11">
        <v>2671.7129</v>
      </c>
      <c r="X31" s="11">
        <v>28320.1567</v>
      </c>
      <c r="Y31" s="7">
        <v>0.21</v>
      </c>
      <c r="Z31" s="11">
        <v>2671.7129</v>
      </c>
      <c r="AA31" s="11">
        <v>246.7329</v>
      </c>
      <c r="AB31" s="11">
        <v>2424.98</v>
      </c>
      <c r="AC31" s="11">
        <v>25704.788</v>
      </c>
      <c r="AD31" s="7">
        <v>0.85</v>
      </c>
      <c r="AE31" s="11">
        <v>2424.98</v>
      </c>
      <c r="AF31" s="11">
        <v>246.7329</v>
      </c>
      <c r="AG31" s="11">
        <v>2178.2471</v>
      </c>
      <c r="AH31" s="11">
        <v>23089.419300000001</v>
      </c>
      <c r="AI31" s="7">
        <v>0.85</v>
      </c>
      <c r="AJ31" s="11">
        <v>2178.2471</v>
      </c>
      <c r="AK31" s="11">
        <v>245.16829999999999</v>
      </c>
      <c r="AL31" s="11">
        <v>1933.0788</v>
      </c>
      <c r="AM31" s="11">
        <v>20490.635300000002</v>
      </c>
      <c r="AN31" s="7">
        <v>0.21</v>
      </c>
      <c r="AO31" s="11">
        <v>1933.0788</v>
      </c>
      <c r="AP31" s="11">
        <v>242.03880000000001</v>
      </c>
      <c r="AQ31" s="11">
        <v>1691.04</v>
      </c>
      <c r="AR31" s="11">
        <v>17925.024000000001</v>
      </c>
      <c r="AS31" s="7">
        <v>-1.07</v>
      </c>
    </row>
    <row r="32" spans="1:45" x14ac:dyDescent="0.3">
      <c r="A32" s="4" t="s">
        <v>74</v>
      </c>
      <c r="B32" s="4" t="s">
        <v>75</v>
      </c>
      <c r="C32" s="4" t="s">
        <v>69</v>
      </c>
      <c r="D32" s="5">
        <v>10.62</v>
      </c>
      <c r="E32" s="6">
        <v>1746.2</v>
      </c>
      <c r="F32" s="6">
        <v>175.56</v>
      </c>
      <c r="G32" s="6">
        <v>18544.644</v>
      </c>
      <c r="H32" s="6">
        <v>0.35709999999999997</v>
      </c>
      <c r="I32" s="8" t="s">
        <v>16</v>
      </c>
      <c r="J32" s="24">
        <v>0</v>
      </c>
      <c r="K32" s="24">
        <v>0</v>
      </c>
      <c r="L32" s="24">
        <v>0</v>
      </c>
      <c r="M32" s="24">
        <v>0</v>
      </c>
      <c r="N32" s="25">
        <v>1</v>
      </c>
      <c r="O32" s="25">
        <v>1</v>
      </c>
      <c r="P32" s="6">
        <v>1746.2</v>
      </c>
      <c r="Q32" s="6">
        <v>28.9481</v>
      </c>
      <c r="R32" s="6">
        <v>1717.2519</v>
      </c>
      <c r="S32" s="6">
        <v>18237.215199999999</v>
      </c>
      <c r="T32" s="7">
        <v>-1.07</v>
      </c>
      <c r="U32" s="6">
        <v>1717.2519</v>
      </c>
      <c r="V32" s="6">
        <v>29.322399999999998</v>
      </c>
      <c r="W32" s="6">
        <v>1687.9295</v>
      </c>
      <c r="X32" s="6">
        <v>17925.811300000001</v>
      </c>
      <c r="Y32" s="7">
        <v>0.21</v>
      </c>
      <c r="Z32" s="6">
        <v>1687.9295</v>
      </c>
      <c r="AA32" s="6">
        <v>29.509499999999999</v>
      </c>
      <c r="AB32" s="6">
        <v>1658.42</v>
      </c>
      <c r="AC32" s="6">
        <v>17612.420399999999</v>
      </c>
      <c r="AD32" s="7">
        <v>0.85</v>
      </c>
      <c r="AE32" s="6">
        <v>1658.42</v>
      </c>
      <c r="AF32" s="6">
        <v>29.509499999999999</v>
      </c>
      <c r="AG32" s="6">
        <v>1628.9105</v>
      </c>
      <c r="AH32" s="6">
        <v>17299.029500000001</v>
      </c>
      <c r="AI32" s="7">
        <v>0.85</v>
      </c>
      <c r="AJ32" s="6">
        <v>1628.9105</v>
      </c>
      <c r="AK32" s="6">
        <v>29.322399999999998</v>
      </c>
      <c r="AL32" s="6">
        <v>1599.5880999999999</v>
      </c>
      <c r="AM32" s="6">
        <v>16987.625599999999</v>
      </c>
      <c r="AN32" s="7">
        <v>0.21</v>
      </c>
      <c r="AO32" s="6">
        <v>1599.5880999999999</v>
      </c>
      <c r="AP32" s="6">
        <v>28.9481</v>
      </c>
      <c r="AQ32" s="6">
        <v>1570.64</v>
      </c>
      <c r="AR32" s="6">
        <v>16680.196800000002</v>
      </c>
      <c r="AS32" s="7">
        <v>-1.07</v>
      </c>
    </row>
    <row r="33" spans="1:45" x14ac:dyDescent="0.3">
      <c r="A33" s="9" t="s">
        <v>76</v>
      </c>
      <c r="B33" s="9" t="s">
        <v>77</v>
      </c>
      <c r="C33" s="9" t="s">
        <v>69</v>
      </c>
      <c r="D33" s="10">
        <v>10.45</v>
      </c>
      <c r="E33" s="11">
        <v>1583.26</v>
      </c>
      <c r="F33" s="11">
        <v>485.9</v>
      </c>
      <c r="G33" s="11">
        <v>16545.066999999999</v>
      </c>
      <c r="H33" s="11">
        <v>0.35709999999999997</v>
      </c>
      <c r="I33" s="8" t="s">
        <v>16</v>
      </c>
      <c r="J33" s="26">
        <v>0</v>
      </c>
      <c r="K33" s="26">
        <v>0</v>
      </c>
      <c r="L33" s="26">
        <v>0</v>
      </c>
      <c r="M33" s="26">
        <v>0</v>
      </c>
      <c r="N33" s="25">
        <v>1</v>
      </c>
      <c r="O33" s="25">
        <v>1</v>
      </c>
      <c r="P33" s="11">
        <v>1583.26</v>
      </c>
      <c r="Q33" s="11">
        <v>80.120099999999994</v>
      </c>
      <c r="R33" s="11">
        <v>1503.1398999999999</v>
      </c>
      <c r="S33" s="11">
        <v>15707.812</v>
      </c>
      <c r="T33" s="7">
        <v>-1.07</v>
      </c>
      <c r="U33" s="11">
        <v>1503.1398999999999</v>
      </c>
      <c r="V33" s="11">
        <v>81.156000000000006</v>
      </c>
      <c r="W33" s="11">
        <v>1421.9838999999999</v>
      </c>
      <c r="X33" s="11">
        <v>14859.7318</v>
      </c>
      <c r="Y33" s="7">
        <v>0.21</v>
      </c>
      <c r="Z33" s="11">
        <v>1421.9838999999999</v>
      </c>
      <c r="AA33" s="11">
        <v>81.673900000000003</v>
      </c>
      <c r="AB33" s="11">
        <v>1340.31</v>
      </c>
      <c r="AC33" s="11">
        <v>14006.2395</v>
      </c>
      <c r="AD33" s="7">
        <v>0.85</v>
      </c>
      <c r="AE33" s="11">
        <v>1340.31</v>
      </c>
      <c r="AF33" s="11">
        <v>81.673900000000003</v>
      </c>
      <c r="AG33" s="11">
        <v>1258.6360999999999</v>
      </c>
      <c r="AH33" s="11">
        <v>13152.7472</v>
      </c>
      <c r="AI33" s="7">
        <v>0.85</v>
      </c>
      <c r="AJ33" s="11">
        <v>1258.6360999999999</v>
      </c>
      <c r="AK33" s="11">
        <v>81.156000000000006</v>
      </c>
      <c r="AL33" s="11">
        <v>1177.4801</v>
      </c>
      <c r="AM33" s="11">
        <v>12304.666999999999</v>
      </c>
      <c r="AN33" s="7">
        <v>0.21</v>
      </c>
      <c r="AO33" s="11">
        <v>1177.4801</v>
      </c>
      <c r="AP33" s="11">
        <v>80.120099999999994</v>
      </c>
      <c r="AQ33" s="11">
        <v>1097.3599999999999</v>
      </c>
      <c r="AR33" s="11">
        <v>11467.412</v>
      </c>
      <c r="AS33" s="7">
        <v>-1.07</v>
      </c>
    </row>
    <row r="34" spans="1:45" x14ac:dyDescent="0.3">
      <c r="A34" s="4" t="s">
        <v>78</v>
      </c>
      <c r="B34" s="4" t="s">
        <v>79</v>
      </c>
      <c r="C34" s="4" t="s">
        <v>69</v>
      </c>
      <c r="D34" s="5">
        <v>10.63</v>
      </c>
      <c r="E34" s="6">
        <v>1137.56</v>
      </c>
      <c r="F34" s="6">
        <v>47.4</v>
      </c>
      <c r="G34" s="6">
        <v>12092.2628</v>
      </c>
      <c r="H34" s="6">
        <v>0.35709999999999997</v>
      </c>
      <c r="I34" s="8" t="s">
        <v>16</v>
      </c>
      <c r="J34" s="24">
        <v>0</v>
      </c>
      <c r="K34" s="24">
        <v>0</v>
      </c>
      <c r="L34" s="24">
        <v>0</v>
      </c>
      <c r="M34" s="24">
        <v>0</v>
      </c>
      <c r="N34" s="25">
        <v>1</v>
      </c>
      <c r="O34" s="25">
        <v>1</v>
      </c>
      <c r="P34" s="6">
        <v>1137.56</v>
      </c>
      <c r="Q34" s="6">
        <v>7.8158000000000003</v>
      </c>
      <c r="R34" s="6">
        <v>1129.7442000000001</v>
      </c>
      <c r="S34" s="6">
        <v>12009.1808</v>
      </c>
      <c r="T34" s="7">
        <v>-1.07</v>
      </c>
      <c r="U34" s="6">
        <v>1129.7442000000001</v>
      </c>
      <c r="V34" s="6">
        <v>7.9168000000000003</v>
      </c>
      <c r="W34" s="6">
        <v>1121.8273999999999</v>
      </c>
      <c r="X34" s="6">
        <v>11925.025299999999</v>
      </c>
      <c r="Y34" s="7">
        <v>0.21</v>
      </c>
      <c r="Z34" s="6">
        <v>1121.8273999999999</v>
      </c>
      <c r="AA34" s="6">
        <v>7.9673999999999996</v>
      </c>
      <c r="AB34" s="6">
        <v>1113.8599999999999</v>
      </c>
      <c r="AC34" s="6">
        <v>11840.3318</v>
      </c>
      <c r="AD34" s="7">
        <v>0.85</v>
      </c>
      <c r="AE34" s="6">
        <v>1113.8599999999999</v>
      </c>
      <c r="AF34" s="6">
        <v>7.9673999999999996</v>
      </c>
      <c r="AG34" s="6">
        <v>1105.8925999999999</v>
      </c>
      <c r="AH34" s="6">
        <v>11755.638300000001</v>
      </c>
      <c r="AI34" s="7">
        <v>0.85</v>
      </c>
      <c r="AJ34" s="6">
        <v>1105.8925999999999</v>
      </c>
      <c r="AK34" s="6">
        <v>7.9168000000000003</v>
      </c>
      <c r="AL34" s="6">
        <v>1097.9757999999999</v>
      </c>
      <c r="AM34" s="6">
        <v>11671.4828</v>
      </c>
      <c r="AN34" s="7">
        <v>0.21</v>
      </c>
      <c r="AO34" s="6">
        <v>1097.9757999999999</v>
      </c>
      <c r="AP34" s="6">
        <v>7.8158000000000003</v>
      </c>
      <c r="AQ34" s="6">
        <v>1090.1600000000001</v>
      </c>
      <c r="AR34" s="6">
        <v>11588.400799999999</v>
      </c>
      <c r="AS34" s="7">
        <v>-1.07</v>
      </c>
    </row>
    <row r="35" spans="1:45" x14ac:dyDescent="0.3">
      <c r="A35" s="9" t="s">
        <v>80</v>
      </c>
      <c r="B35" s="9" t="s">
        <v>81</v>
      </c>
      <c r="C35" s="9" t="s">
        <v>69</v>
      </c>
      <c r="D35" s="10">
        <v>10.58</v>
      </c>
      <c r="E35" s="11">
        <v>2106.34</v>
      </c>
      <c r="F35" s="11">
        <v>1047.58</v>
      </c>
      <c r="G35" s="11">
        <v>22285.0772</v>
      </c>
      <c r="H35" s="11">
        <v>0.35709999999999997</v>
      </c>
      <c r="I35" s="8" t="s">
        <v>16</v>
      </c>
      <c r="J35" s="26">
        <v>0</v>
      </c>
      <c r="K35" s="26">
        <v>0</v>
      </c>
      <c r="L35" s="26">
        <v>0</v>
      </c>
      <c r="M35" s="26">
        <v>0</v>
      </c>
      <c r="N35" s="25">
        <v>1</v>
      </c>
      <c r="O35" s="25">
        <v>1</v>
      </c>
      <c r="P35" s="11">
        <v>2106.34</v>
      </c>
      <c r="Q35" s="11">
        <v>172.7355</v>
      </c>
      <c r="R35" s="11">
        <v>1933.6044999999999</v>
      </c>
      <c r="S35" s="11">
        <v>20457.535599999999</v>
      </c>
      <c r="T35" s="7">
        <v>-1.07</v>
      </c>
      <c r="U35" s="11">
        <v>1933.6044999999999</v>
      </c>
      <c r="V35" s="11">
        <v>174.96889999999999</v>
      </c>
      <c r="W35" s="11">
        <v>1758.6356000000001</v>
      </c>
      <c r="X35" s="11">
        <v>18606.364600000001</v>
      </c>
      <c r="Y35" s="7">
        <v>0.21</v>
      </c>
      <c r="Z35" s="11">
        <v>1758.6356000000001</v>
      </c>
      <c r="AA35" s="11">
        <v>176.0856</v>
      </c>
      <c r="AB35" s="11">
        <v>1582.55</v>
      </c>
      <c r="AC35" s="11">
        <v>16743.379000000001</v>
      </c>
      <c r="AD35" s="7">
        <v>0.85</v>
      </c>
      <c r="AE35" s="11">
        <v>1582.55</v>
      </c>
      <c r="AF35" s="11">
        <v>176.0856</v>
      </c>
      <c r="AG35" s="11">
        <v>1406.4644000000001</v>
      </c>
      <c r="AH35" s="11">
        <v>14880.393400000001</v>
      </c>
      <c r="AI35" s="7">
        <v>0.85</v>
      </c>
      <c r="AJ35" s="11">
        <v>1406.4644000000001</v>
      </c>
      <c r="AK35" s="11">
        <v>174.96889999999999</v>
      </c>
      <c r="AL35" s="11">
        <v>1231.4955</v>
      </c>
      <c r="AM35" s="11">
        <v>13029.222400000001</v>
      </c>
      <c r="AN35" s="7">
        <v>0.21</v>
      </c>
      <c r="AO35" s="11">
        <v>1231.4955</v>
      </c>
      <c r="AP35" s="11">
        <v>172.7355</v>
      </c>
      <c r="AQ35" s="11">
        <v>1058.76</v>
      </c>
      <c r="AR35" s="11">
        <v>11201.6808</v>
      </c>
      <c r="AS35" s="7">
        <v>-1.07</v>
      </c>
    </row>
    <row r="36" spans="1:45" x14ac:dyDescent="0.3">
      <c r="A36" s="4" t="s">
        <v>82</v>
      </c>
      <c r="B36" s="4" t="s">
        <v>83</v>
      </c>
      <c r="C36" s="4" t="s">
        <v>69</v>
      </c>
      <c r="D36" s="5">
        <v>10.55</v>
      </c>
      <c r="E36" s="6">
        <v>1223.7</v>
      </c>
      <c r="F36" s="6">
        <v>726.82</v>
      </c>
      <c r="G36" s="6">
        <v>12910.035</v>
      </c>
      <c r="H36" s="6">
        <v>0.35709999999999997</v>
      </c>
      <c r="I36" s="8" t="s">
        <v>16</v>
      </c>
      <c r="J36" s="24">
        <v>0</v>
      </c>
      <c r="K36" s="24">
        <v>0</v>
      </c>
      <c r="L36" s="24">
        <v>0</v>
      </c>
      <c r="M36" s="24">
        <v>0</v>
      </c>
      <c r="N36" s="25">
        <v>1</v>
      </c>
      <c r="O36" s="25">
        <v>1</v>
      </c>
      <c r="P36" s="6">
        <v>1223.7</v>
      </c>
      <c r="Q36" s="6">
        <v>119.8454</v>
      </c>
      <c r="R36" s="6">
        <v>1103.8545999999999</v>
      </c>
      <c r="S36" s="6">
        <v>11645.665999999999</v>
      </c>
      <c r="T36" s="7">
        <v>-1.07</v>
      </c>
      <c r="U36" s="6">
        <v>1103.8545999999999</v>
      </c>
      <c r="V36" s="6">
        <v>121.39490000000001</v>
      </c>
      <c r="W36" s="6">
        <v>982.4597</v>
      </c>
      <c r="X36" s="6">
        <v>10364.9498</v>
      </c>
      <c r="Y36" s="7">
        <v>0.21</v>
      </c>
      <c r="Z36" s="6">
        <v>982.4597</v>
      </c>
      <c r="AA36" s="6">
        <v>122.16970000000001</v>
      </c>
      <c r="AB36" s="6">
        <v>860.29</v>
      </c>
      <c r="AC36" s="6">
        <v>9076.0594999999994</v>
      </c>
      <c r="AD36" s="7">
        <v>0.85</v>
      </c>
      <c r="AE36" s="6">
        <v>860.29</v>
      </c>
      <c r="AF36" s="6">
        <v>122.16970000000001</v>
      </c>
      <c r="AG36" s="6">
        <v>738.12030000000004</v>
      </c>
      <c r="AH36" s="6">
        <v>7787.1692000000003</v>
      </c>
      <c r="AI36" s="7">
        <v>0.85</v>
      </c>
      <c r="AJ36" s="6">
        <v>738.12030000000004</v>
      </c>
      <c r="AK36" s="6">
        <v>121.39490000000001</v>
      </c>
      <c r="AL36" s="6">
        <v>616.72540000000004</v>
      </c>
      <c r="AM36" s="6">
        <v>6506.4530000000004</v>
      </c>
      <c r="AN36" s="7">
        <v>0.21</v>
      </c>
      <c r="AO36" s="6">
        <v>616.72540000000004</v>
      </c>
      <c r="AP36" s="6">
        <v>119.8454</v>
      </c>
      <c r="AQ36" s="6">
        <v>496.88</v>
      </c>
      <c r="AR36" s="6">
        <v>5242.0839999999998</v>
      </c>
      <c r="AS36" s="7">
        <v>-1.07</v>
      </c>
    </row>
    <row r="37" spans="1:45" x14ac:dyDescent="0.3">
      <c r="A37" s="9" t="s">
        <v>84</v>
      </c>
      <c r="B37" s="9" t="s">
        <v>85</v>
      </c>
      <c r="C37" s="9" t="s">
        <v>69</v>
      </c>
      <c r="D37" s="10">
        <v>10.31</v>
      </c>
      <c r="E37" s="11">
        <v>554.28</v>
      </c>
      <c r="F37" s="11">
        <v>0</v>
      </c>
      <c r="G37" s="11">
        <v>5714.6268</v>
      </c>
      <c r="H37" s="11">
        <v>0.35709999999999997</v>
      </c>
      <c r="I37" s="8" t="s">
        <v>16</v>
      </c>
      <c r="J37" s="26">
        <v>0</v>
      </c>
      <c r="K37" s="26">
        <v>0</v>
      </c>
      <c r="L37" s="26">
        <v>0</v>
      </c>
      <c r="M37" s="26">
        <v>0</v>
      </c>
      <c r="N37" s="25">
        <v>1</v>
      </c>
      <c r="O37" s="25">
        <v>1</v>
      </c>
      <c r="P37" s="11">
        <v>554.28</v>
      </c>
      <c r="Q37" s="11">
        <v>0</v>
      </c>
      <c r="R37" s="11">
        <v>554.28</v>
      </c>
      <c r="S37" s="11">
        <v>5714.6268</v>
      </c>
      <c r="T37" s="7">
        <v>0</v>
      </c>
      <c r="U37" s="11">
        <v>554.28</v>
      </c>
      <c r="V37" s="11">
        <v>0</v>
      </c>
      <c r="W37" s="11">
        <v>554.28</v>
      </c>
      <c r="X37" s="11">
        <v>5714.6268</v>
      </c>
      <c r="Y37" s="7">
        <v>0</v>
      </c>
      <c r="Z37" s="11">
        <v>554.28</v>
      </c>
      <c r="AA37" s="11">
        <v>0</v>
      </c>
      <c r="AB37" s="11">
        <v>554.28</v>
      </c>
      <c r="AC37" s="11">
        <v>5714.6268</v>
      </c>
      <c r="AD37" s="7">
        <v>0</v>
      </c>
      <c r="AE37" s="11">
        <v>554.28</v>
      </c>
      <c r="AF37" s="11">
        <v>0</v>
      </c>
      <c r="AG37" s="11">
        <v>554.28</v>
      </c>
      <c r="AH37" s="11">
        <v>5714.6268</v>
      </c>
      <c r="AI37" s="7">
        <v>0</v>
      </c>
      <c r="AJ37" s="11">
        <v>554.28</v>
      </c>
      <c r="AK37" s="11">
        <v>0</v>
      </c>
      <c r="AL37" s="11">
        <v>554.28</v>
      </c>
      <c r="AM37" s="11">
        <v>5714.6268</v>
      </c>
      <c r="AN37" s="7">
        <v>0</v>
      </c>
      <c r="AO37" s="11">
        <v>554.28</v>
      </c>
      <c r="AP37" s="11">
        <v>0</v>
      </c>
      <c r="AQ37" s="11">
        <v>554.28</v>
      </c>
      <c r="AR37" s="11">
        <v>5714.6268</v>
      </c>
      <c r="AS37" s="7">
        <v>0</v>
      </c>
    </row>
    <row r="38" spans="1:45" x14ac:dyDescent="0.3">
      <c r="A38" s="4" t="s">
        <v>86</v>
      </c>
      <c r="B38" s="4" t="s">
        <v>87</v>
      </c>
      <c r="C38" s="4" t="s">
        <v>69</v>
      </c>
      <c r="D38" s="5">
        <v>11.25</v>
      </c>
      <c r="E38" s="6">
        <v>2225.12</v>
      </c>
      <c r="F38" s="6">
        <v>1103.96</v>
      </c>
      <c r="G38" s="6">
        <v>25032.6</v>
      </c>
      <c r="H38" s="6">
        <v>0.35709999999999997</v>
      </c>
      <c r="I38" s="8" t="s">
        <v>16</v>
      </c>
      <c r="J38" s="24">
        <v>0</v>
      </c>
      <c r="K38" s="24">
        <v>0</v>
      </c>
      <c r="L38" s="24">
        <v>0</v>
      </c>
      <c r="M38" s="24">
        <v>0</v>
      </c>
      <c r="N38" s="25">
        <v>1</v>
      </c>
      <c r="O38" s="25">
        <v>1</v>
      </c>
      <c r="P38" s="6">
        <v>2225.12</v>
      </c>
      <c r="Q38" s="6">
        <v>182.03200000000001</v>
      </c>
      <c r="R38" s="6">
        <v>2043.088</v>
      </c>
      <c r="S38" s="6">
        <v>22984.74</v>
      </c>
      <c r="T38" s="7">
        <v>-1.07</v>
      </c>
      <c r="U38" s="6">
        <v>2043.088</v>
      </c>
      <c r="V38" s="6">
        <v>184.38560000000001</v>
      </c>
      <c r="W38" s="6">
        <v>1858.7023999999999</v>
      </c>
      <c r="X38" s="6">
        <v>20910.401999999998</v>
      </c>
      <c r="Y38" s="7">
        <v>0.21</v>
      </c>
      <c r="Z38" s="6">
        <v>1858.7023999999999</v>
      </c>
      <c r="AA38" s="6">
        <v>185.5624</v>
      </c>
      <c r="AB38" s="6">
        <v>1673.14</v>
      </c>
      <c r="AC38" s="6">
        <v>18822.825000000001</v>
      </c>
      <c r="AD38" s="7">
        <v>0.85</v>
      </c>
      <c r="AE38" s="6">
        <v>1673.14</v>
      </c>
      <c r="AF38" s="6">
        <v>185.5624</v>
      </c>
      <c r="AG38" s="6">
        <v>1487.5776000000001</v>
      </c>
      <c r="AH38" s="6">
        <v>16735.248</v>
      </c>
      <c r="AI38" s="7">
        <v>0.85</v>
      </c>
      <c r="AJ38" s="6">
        <v>1487.5776000000001</v>
      </c>
      <c r="AK38" s="6">
        <v>184.38560000000001</v>
      </c>
      <c r="AL38" s="6">
        <v>1303.192</v>
      </c>
      <c r="AM38" s="6">
        <v>14660.91</v>
      </c>
      <c r="AN38" s="7">
        <v>0.21</v>
      </c>
      <c r="AO38" s="6">
        <v>1303.192</v>
      </c>
      <c r="AP38" s="6">
        <v>182.03200000000001</v>
      </c>
      <c r="AQ38" s="6">
        <v>1121.1600000000001</v>
      </c>
      <c r="AR38" s="6">
        <v>12613.05</v>
      </c>
      <c r="AS38" s="7">
        <v>-1.07</v>
      </c>
    </row>
    <row r="39" spans="1:45" x14ac:dyDescent="0.3">
      <c r="A39" s="9" t="s">
        <v>88</v>
      </c>
      <c r="B39" s="9" t="s">
        <v>89</v>
      </c>
      <c r="C39" s="9" t="s">
        <v>69</v>
      </c>
      <c r="D39" s="10">
        <v>10.64</v>
      </c>
      <c r="E39" s="11">
        <v>1163.74</v>
      </c>
      <c r="F39" s="11">
        <v>0</v>
      </c>
      <c r="G39" s="11">
        <v>12382.193600000001</v>
      </c>
      <c r="H39" s="11">
        <v>0.35709999999999997</v>
      </c>
      <c r="I39" s="8" t="s">
        <v>16</v>
      </c>
      <c r="J39" s="26">
        <v>0</v>
      </c>
      <c r="K39" s="26">
        <v>0</v>
      </c>
      <c r="L39" s="26">
        <v>0</v>
      </c>
      <c r="M39" s="26">
        <v>0</v>
      </c>
      <c r="N39" s="25">
        <v>1</v>
      </c>
      <c r="O39" s="25">
        <v>1</v>
      </c>
      <c r="P39" s="11">
        <v>1163.74</v>
      </c>
      <c r="Q39" s="11">
        <v>0</v>
      </c>
      <c r="R39" s="11">
        <v>1163.74</v>
      </c>
      <c r="S39" s="11">
        <v>12382.193600000001</v>
      </c>
      <c r="T39" s="7">
        <v>0</v>
      </c>
      <c r="U39" s="11">
        <v>1163.74</v>
      </c>
      <c r="V39" s="11">
        <v>0</v>
      </c>
      <c r="W39" s="11">
        <v>1163.74</v>
      </c>
      <c r="X39" s="11">
        <v>12382.193600000001</v>
      </c>
      <c r="Y39" s="7">
        <v>0</v>
      </c>
      <c r="Z39" s="11">
        <v>1163.74</v>
      </c>
      <c r="AA39" s="11">
        <v>0</v>
      </c>
      <c r="AB39" s="11">
        <v>1163.74</v>
      </c>
      <c r="AC39" s="11">
        <v>12382.193600000001</v>
      </c>
      <c r="AD39" s="7">
        <v>0</v>
      </c>
      <c r="AE39" s="11">
        <v>1163.74</v>
      </c>
      <c r="AF39" s="11">
        <v>0</v>
      </c>
      <c r="AG39" s="11">
        <v>1163.74</v>
      </c>
      <c r="AH39" s="11">
        <v>12382.193600000001</v>
      </c>
      <c r="AI39" s="7">
        <v>0</v>
      </c>
      <c r="AJ39" s="11">
        <v>1163.74</v>
      </c>
      <c r="AK39" s="11">
        <v>0</v>
      </c>
      <c r="AL39" s="11">
        <v>1163.74</v>
      </c>
      <c r="AM39" s="11">
        <v>12382.193600000001</v>
      </c>
      <c r="AN39" s="7">
        <v>0</v>
      </c>
      <c r="AO39" s="11">
        <v>1163.74</v>
      </c>
      <c r="AP39" s="11">
        <v>0</v>
      </c>
      <c r="AQ39" s="11">
        <v>1163.74</v>
      </c>
      <c r="AR39" s="11">
        <v>12382.193600000001</v>
      </c>
      <c r="AS39" s="7">
        <v>0</v>
      </c>
    </row>
    <row r="40" spans="1:45" x14ac:dyDescent="0.3">
      <c r="A40" s="4" t="s">
        <v>90</v>
      </c>
      <c r="B40" s="4" t="s">
        <v>91</v>
      </c>
      <c r="C40" s="4" t="s">
        <v>69</v>
      </c>
      <c r="D40" s="5">
        <v>10.55</v>
      </c>
      <c r="E40" s="6">
        <v>2974.92</v>
      </c>
      <c r="F40" s="6">
        <v>1417.28</v>
      </c>
      <c r="G40" s="6">
        <v>31385.405999999999</v>
      </c>
      <c r="H40" s="6">
        <v>0.35709999999999997</v>
      </c>
      <c r="I40" s="8" t="s">
        <v>16</v>
      </c>
      <c r="J40" s="24">
        <v>0</v>
      </c>
      <c r="K40" s="24">
        <v>0</v>
      </c>
      <c r="L40" s="24">
        <v>0</v>
      </c>
      <c r="M40" s="24">
        <v>0</v>
      </c>
      <c r="N40" s="25">
        <v>1</v>
      </c>
      <c r="O40" s="25">
        <v>1</v>
      </c>
      <c r="P40" s="6">
        <v>2974.92</v>
      </c>
      <c r="Q40" s="6">
        <v>233.69540000000001</v>
      </c>
      <c r="R40" s="6">
        <v>2741.2246</v>
      </c>
      <c r="S40" s="6">
        <v>28919.9195</v>
      </c>
      <c r="T40" s="7">
        <v>-1.07</v>
      </c>
      <c r="U40" s="6">
        <v>2741.2246</v>
      </c>
      <c r="V40" s="6">
        <v>236.71690000000001</v>
      </c>
      <c r="W40" s="6">
        <v>2504.5077000000001</v>
      </c>
      <c r="X40" s="6">
        <v>26422.556199999999</v>
      </c>
      <c r="Y40" s="7">
        <v>0.21</v>
      </c>
      <c r="Z40" s="6">
        <v>2504.5077000000001</v>
      </c>
      <c r="AA40" s="6">
        <v>238.2277</v>
      </c>
      <c r="AB40" s="6">
        <v>2266.2800000000002</v>
      </c>
      <c r="AC40" s="6">
        <v>23909.254000000001</v>
      </c>
      <c r="AD40" s="7">
        <v>0.85</v>
      </c>
      <c r="AE40" s="6">
        <v>2266.2800000000002</v>
      </c>
      <c r="AF40" s="6">
        <v>238.2277</v>
      </c>
      <c r="AG40" s="6">
        <v>2028.0523000000001</v>
      </c>
      <c r="AH40" s="6">
        <v>21395.951799999999</v>
      </c>
      <c r="AI40" s="7">
        <v>0.85</v>
      </c>
      <c r="AJ40" s="6">
        <v>2028.0523000000001</v>
      </c>
      <c r="AK40" s="6">
        <v>236.71690000000001</v>
      </c>
      <c r="AL40" s="6">
        <v>1791.3353999999999</v>
      </c>
      <c r="AM40" s="6">
        <v>18898.588500000002</v>
      </c>
      <c r="AN40" s="7">
        <v>0.21</v>
      </c>
      <c r="AO40" s="6">
        <v>1791.3353999999999</v>
      </c>
      <c r="AP40" s="6">
        <v>233.69540000000001</v>
      </c>
      <c r="AQ40" s="6">
        <v>1557.64</v>
      </c>
      <c r="AR40" s="6">
        <v>16433.101999999999</v>
      </c>
      <c r="AS40" s="7">
        <v>-1.07</v>
      </c>
    </row>
    <row r="41" spans="1:45" x14ac:dyDescent="0.3">
      <c r="A41" s="9" t="s">
        <v>92</v>
      </c>
      <c r="B41" s="9" t="s">
        <v>93</v>
      </c>
      <c r="C41" s="9" t="s">
        <v>69</v>
      </c>
      <c r="D41" s="10">
        <v>13.5</v>
      </c>
      <c r="E41" s="11">
        <v>48</v>
      </c>
      <c r="F41" s="11">
        <v>0</v>
      </c>
      <c r="G41" s="11">
        <v>648</v>
      </c>
      <c r="H41" s="11">
        <v>0.35709999999999997</v>
      </c>
      <c r="I41" s="12" t="s">
        <v>53</v>
      </c>
      <c r="J41" s="26">
        <v>0</v>
      </c>
      <c r="K41" s="26">
        <v>0</v>
      </c>
      <c r="L41" s="27">
        <v>1</v>
      </c>
      <c r="M41" s="26">
        <v>0</v>
      </c>
      <c r="N41" s="26">
        <v>0</v>
      </c>
      <c r="O41" s="27">
        <v>1</v>
      </c>
      <c r="P41" s="11">
        <v>48</v>
      </c>
      <c r="Q41" s="11">
        <v>0</v>
      </c>
      <c r="R41" s="11">
        <v>48</v>
      </c>
      <c r="S41" s="11">
        <v>648</v>
      </c>
      <c r="T41" s="7">
        <v>0</v>
      </c>
      <c r="U41" s="11">
        <v>48</v>
      </c>
      <c r="V41" s="11">
        <v>0</v>
      </c>
      <c r="W41" s="11">
        <v>48</v>
      </c>
      <c r="X41" s="11">
        <v>648</v>
      </c>
      <c r="Y41" s="7">
        <v>0</v>
      </c>
      <c r="Z41" s="11">
        <v>48</v>
      </c>
      <c r="AA41" s="11">
        <v>0</v>
      </c>
      <c r="AB41" s="11">
        <v>48</v>
      </c>
      <c r="AC41" s="11">
        <v>648</v>
      </c>
      <c r="AD41" s="7">
        <v>0</v>
      </c>
      <c r="AE41" s="11">
        <v>48</v>
      </c>
      <c r="AF41" s="11">
        <v>0</v>
      </c>
      <c r="AG41" s="11">
        <v>48</v>
      </c>
      <c r="AH41" s="11">
        <v>648</v>
      </c>
      <c r="AI41" s="7">
        <v>0</v>
      </c>
      <c r="AJ41" s="11">
        <v>48</v>
      </c>
      <c r="AK41" s="11">
        <v>0</v>
      </c>
      <c r="AL41" s="11">
        <v>48</v>
      </c>
      <c r="AM41" s="11">
        <v>648</v>
      </c>
      <c r="AN41" s="7">
        <v>0</v>
      </c>
      <c r="AO41" s="11">
        <v>48</v>
      </c>
      <c r="AP41" s="11">
        <v>0</v>
      </c>
      <c r="AQ41" s="11">
        <v>48</v>
      </c>
      <c r="AR41" s="11">
        <v>648</v>
      </c>
      <c r="AS41" s="7">
        <v>0</v>
      </c>
    </row>
    <row r="42" spans="1:45" x14ac:dyDescent="0.3">
      <c r="A42" s="4" t="s">
        <v>94</v>
      </c>
      <c r="B42" s="4" t="s">
        <v>95</v>
      </c>
      <c r="C42" s="4" t="s">
        <v>69</v>
      </c>
      <c r="D42" s="5">
        <v>12</v>
      </c>
      <c r="E42" s="6">
        <v>0</v>
      </c>
      <c r="F42" s="6">
        <v>0</v>
      </c>
      <c r="G42" s="6">
        <v>0</v>
      </c>
      <c r="H42" s="6">
        <v>0.35709999999999997</v>
      </c>
      <c r="I42" s="28" t="s">
        <v>133</v>
      </c>
      <c r="J42" s="24">
        <v>0</v>
      </c>
      <c r="K42" s="29">
        <v>1</v>
      </c>
      <c r="L42" s="29">
        <v>1</v>
      </c>
      <c r="M42" s="24">
        <v>0</v>
      </c>
      <c r="N42" s="24">
        <v>0</v>
      </c>
      <c r="O42" s="24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</row>
    <row r="43" spans="1:45" x14ac:dyDescent="0.3">
      <c r="A43" s="9" t="s">
        <v>96</v>
      </c>
      <c r="B43" s="9" t="s">
        <v>97</v>
      </c>
      <c r="C43" s="9" t="s">
        <v>69</v>
      </c>
      <c r="D43" s="10">
        <v>10.2745</v>
      </c>
      <c r="E43" s="11">
        <v>746.24</v>
      </c>
      <c r="F43" s="11">
        <v>0</v>
      </c>
      <c r="G43" s="11">
        <v>7667.2429000000002</v>
      </c>
      <c r="H43" s="11">
        <v>0.35709999999999997</v>
      </c>
      <c r="I43" s="8" t="s">
        <v>16</v>
      </c>
      <c r="J43" s="26">
        <v>0</v>
      </c>
      <c r="K43" s="26">
        <v>0</v>
      </c>
      <c r="L43" s="26">
        <v>0</v>
      </c>
      <c r="M43" s="26">
        <v>0</v>
      </c>
      <c r="N43" s="25">
        <v>1</v>
      </c>
      <c r="O43" s="25">
        <v>1</v>
      </c>
      <c r="P43" s="11">
        <v>746.24</v>
      </c>
      <c r="Q43" s="11">
        <v>0</v>
      </c>
      <c r="R43" s="11">
        <v>746.24</v>
      </c>
      <c r="S43" s="11">
        <v>7667.2429000000002</v>
      </c>
      <c r="T43" s="7">
        <v>0</v>
      </c>
      <c r="U43" s="11">
        <v>746.24</v>
      </c>
      <c r="V43" s="11">
        <v>0</v>
      </c>
      <c r="W43" s="11">
        <v>746.24</v>
      </c>
      <c r="X43" s="11">
        <v>7667.2429000000002</v>
      </c>
      <c r="Y43" s="7">
        <v>0</v>
      </c>
      <c r="Z43" s="11">
        <v>746.24</v>
      </c>
      <c r="AA43" s="11">
        <v>0</v>
      </c>
      <c r="AB43" s="11">
        <v>746.24</v>
      </c>
      <c r="AC43" s="11">
        <v>7667.2429000000002</v>
      </c>
      <c r="AD43" s="7">
        <v>0</v>
      </c>
      <c r="AE43" s="11">
        <v>746.24</v>
      </c>
      <c r="AF43" s="11">
        <v>0</v>
      </c>
      <c r="AG43" s="11">
        <v>746.24</v>
      </c>
      <c r="AH43" s="11">
        <v>7667.2429000000002</v>
      </c>
      <c r="AI43" s="7">
        <v>0</v>
      </c>
      <c r="AJ43" s="11">
        <v>746.24</v>
      </c>
      <c r="AK43" s="11">
        <v>0</v>
      </c>
      <c r="AL43" s="11">
        <v>746.24</v>
      </c>
      <c r="AM43" s="11">
        <v>7667.2429000000002</v>
      </c>
      <c r="AN43" s="7">
        <v>0</v>
      </c>
      <c r="AO43" s="11">
        <v>746.24</v>
      </c>
      <c r="AP43" s="11">
        <v>0</v>
      </c>
      <c r="AQ43" s="11">
        <v>746.24</v>
      </c>
      <c r="AR43" s="11">
        <v>7667.2429000000002</v>
      </c>
      <c r="AS43" s="7">
        <v>0</v>
      </c>
    </row>
    <row r="44" spans="1:45" x14ac:dyDescent="0.3">
      <c r="A44" s="4" t="s">
        <v>98</v>
      </c>
      <c r="B44" s="4" t="s">
        <v>99</v>
      </c>
      <c r="C44" s="4" t="s">
        <v>100</v>
      </c>
      <c r="D44" s="5">
        <v>10.31</v>
      </c>
      <c r="E44" s="6">
        <v>0</v>
      </c>
      <c r="F44" s="6">
        <v>0</v>
      </c>
      <c r="G44" s="6">
        <v>0</v>
      </c>
      <c r="H44" s="6">
        <v>3.5</v>
      </c>
      <c r="I44" s="28" t="s">
        <v>133</v>
      </c>
      <c r="J44" s="24">
        <v>0</v>
      </c>
      <c r="K44" s="29">
        <v>1</v>
      </c>
      <c r="L44" s="29">
        <v>1</v>
      </c>
      <c r="M44" s="24">
        <v>0</v>
      </c>
      <c r="N44" s="24">
        <v>0</v>
      </c>
      <c r="O44" s="24">
        <v>2</v>
      </c>
      <c r="P44" s="6">
        <v>0</v>
      </c>
      <c r="Q44" s="6">
        <v>0</v>
      </c>
      <c r="R44" s="6">
        <v>0</v>
      </c>
      <c r="S44" s="6">
        <v>0</v>
      </c>
      <c r="T44" s="7">
        <v>0</v>
      </c>
      <c r="U44" s="6">
        <v>0</v>
      </c>
      <c r="V44" s="6">
        <v>0</v>
      </c>
      <c r="W44" s="6">
        <v>0</v>
      </c>
      <c r="X44" s="6">
        <v>0</v>
      </c>
      <c r="Y44" s="7">
        <v>0</v>
      </c>
      <c r="Z44" s="6">
        <v>0</v>
      </c>
      <c r="AA44" s="6">
        <v>0</v>
      </c>
      <c r="AB44" s="6">
        <v>0</v>
      </c>
      <c r="AC44" s="6">
        <v>0</v>
      </c>
      <c r="AD44" s="7">
        <v>0</v>
      </c>
      <c r="AE44" s="6">
        <v>0</v>
      </c>
      <c r="AF44" s="6">
        <v>0</v>
      </c>
      <c r="AG44" s="6">
        <v>0</v>
      </c>
      <c r="AH44" s="6">
        <v>0</v>
      </c>
      <c r="AI44" s="7">
        <v>0</v>
      </c>
      <c r="AJ44" s="6">
        <v>0</v>
      </c>
      <c r="AK44" s="6">
        <v>0</v>
      </c>
      <c r="AL44" s="6">
        <v>0</v>
      </c>
      <c r="AM44" s="6">
        <v>0</v>
      </c>
      <c r="AN44" s="7">
        <v>0</v>
      </c>
      <c r="AO44" s="6">
        <v>0</v>
      </c>
      <c r="AP44" s="6">
        <v>0</v>
      </c>
      <c r="AQ44" s="6">
        <v>0</v>
      </c>
      <c r="AR44" s="6">
        <v>0</v>
      </c>
      <c r="AS44" s="7">
        <v>0</v>
      </c>
    </row>
    <row r="45" spans="1:45" x14ac:dyDescent="0.3">
      <c r="A45" s="9" t="s">
        <v>101</v>
      </c>
      <c r="B45" s="9" t="s">
        <v>102</v>
      </c>
      <c r="C45" s="9" t="s">
        <v>69</v>
      </c>
      <c r="D45" s="10">
        <v>10.307700000000001</v>
      </c>
      <c r="E45" s="11">
        <v>280.48</v>
      </c>
      <c r="F45" s="11">
        <v>0</v>
      </c>
      <c r="G45" s="11">
        <v>2891.1037000000001</v>
      </c>
      <c r="H45" s="11">
        <v>0.35709999999999997</v>
      </c>
      <c r="I45" s="12" t="s">
        <v>53</v>
      </c>
      <c r="J45" s="26">
        <v>0</v>
      </c>
      <c r="K45" s="26">
        <v>0</v>
      </c>
      <c r="L45" s="27">
        <v>1</v>
      </c>
      <c r="M45" s="26">
        <v>0</v>
      </c>
      <c r="N45" s="26">
        <v>0</v>
      </c>
      <c r="O45" s="27">
        <v>1</v>
      </c>
      <c r="P45" s="11">
        <v>280.48</v>
      </c>
      <c r="Q45" s="11">
        <v>0</v>
      </c>
      <c r="R45" s="11">
        <v>280.48</v>
      </c>
      <c r="S45" s="11">
        <v>2891.1037000000001</v>
      </c>
      <c r="T45" s="7">
        <v>0</v>
      </c>
      <c r="U45" s="11">
        <v>280.48</v>
      </c>
      <c r="V45" s="11">
        <v>0</v>
      </c>
      <c r="W45" s="11">
        <v>280.48</v>
      </c>
      <c r="X45" s="11">
        <v>2891.1037000000001</v>
      </c>
      <c r="Y45" s="7">
        <v>0</v>
      </c>
      <c r="Z45" s="11">
        <v>280.48</v>
      </c>
      <c r="AA45" s="11">
        <v>0</v>
      </c>
      <c r="AB45" s="11">
        <v>280.48</v>
      </c>
      <c r="AC45" s="11">
        <v>2891.1037000000001</v>
      </c>
      <c r="AD45" s="7">
        <v>0</v>
      </c>
      <c r="AE45" s="11">
        <v>280.48</v>
      </c>
      <c r="AF45" s="11">
        <v>0</v>
      </c>
      <c r="AG45" s="11">
        <v>280.48</v>
      </c>
      <c r="AH45" s="11">
        <v>2891.1037000000001</v>
      </c>
      <c r="AI45" s="7">
        <v>0</v>
      </c>
      <c r="AJ45" s="11">
        <v>280.48</v>
      </c>
      <c r="AK45" s="11">
        <v>0</v>
      </c>
      <c r="AL45" s="11">
        <v>280.48</v>
      </c>
      <c r="AM45" s="11">
        <v>2891.1037000000001</v>
      </c>
      <c r="AN45" s="7">
        <v>0</v>
      </c>
      <c r="AO45" s="11">
        <v>280.48</v>
      </c>
      <c r="AP45" s="11">
        <v>0</v>
      </c>
      <c r="AQ45" s="11">
        <v>280.48</v>
      </c>
      <c r="AR45" s="11">
        <v>2891.1037000000001</v>
      </c>
      <c r="AS45" s="7">
        <v>0</v>
      </c>
    </row>
    <row r="46" spans="1:45" x14ac:dyDescent="0.3">
      <c r="A46" s="4" t="s">
        <v>103</v>
      </c>
      <c r="B46" s="4" t="s">
        <v>104</v>
      </c>
      <c r="C46" s="4" t="s">
        <v>100</v>
      </c>
      <c r="D46" s="5">
        <v>10.332000000000001</v>
      </c>
      <c r="E46" s="6">
        <v>0</v>
      </c>
      <c r="F46" s="6">
        <v>0</v>
      </c>
      <c r="G46" s="6">
        <v>0</v>
      </c>
      <c r="H46" s="6">
        <v>3.5</v>
      </c>
      <c r="I46" s="28" t="s">
        <v>133</v>
      </c>
      <c r="J46" s="24">
        <v>0</v>
      </c>
      <c r="K46" s="29">
        <v>1</v>
      </c>
      <c r="L46" s="29">
        <v>1</v>
      </c>
      <c r="M46" s="24">
        <v>0</v>
      </c>
      <c r="N46" s="24">
        <v>0</v>
      </c>
      <c r="O46" s="24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</row>
    <row r="47" spans="1:45" x14ac:dyDescent="0.3">
      <c r="A47" s="9" t="s">
        <v>105</v>
      </c>
      <c r="B47" s="9" t="s">
        <v>106</v>
      </c>
      <c r="C47" s="9" t="s">
        <v>107</v>
      </c>
      <c r="D47" s="10">
        <v>15.55</v>
      </c>
      <c r="E47" s="11">
        <v>152</v>
      </c>
      <c r="F47" s="11">
        <v>0</v>
      </c>
      <c r="G47" s="11">
        <v>2363.6</v>
      </c>
      <c r="H47" s="11">
        <v>3.9285999999999999</v>
      </c>
      <c r="I47" s="8" t="s">
        <v>16</v>
      </c>
      <c r="J47" s="26">
        <v>0</v>
      </c>
      <c r="K47" s="26">
        <v>0</v>
      </c>
      <c r="L47" s="26">
        <v>0</v>
      </c>
      <c r="M47" s="26">
        <v>0</v>
      </c>
      <c r="N47" s="25">
        <v>1</v>
      </c>
      <c r="O47" s="25">
        <v>1</v>
      </c>
      <c r="P47" s="11">
        <v>152</v>
      </c>
      <c r="Q47" s="11">
        <v>0</v>
      </c>
      <c r="R47" s="11">
        <v>152</v>
      </c>
      <c r="S47" s="11">
        <v>2363.6</v>
      </c>
      <c r="T47" s="7">
        <v>0</v>
      </c>
      <c r="U47" s="11">
        <v>152</v>
      </c>
      <c r="V47" s="11">
        <v>0</v>
      </c>
      <c r="W47" s="11">
        <v>152</v>
      </c>
      <c r="X47" s="11">
        <v>2363.6</v>
      </c>
      <c r="Y47" s="7">
        <v>0</v>
      </c>
      <c r="Z47" s="11">
        <v>152</v>
      </c>
      <c r="AA47" s="11">
        <v>0</v>
      </c>
      <c r="AB47" s="11">
        <v>152</v>
      </c>
      <c r="AC47" s="11">
        <v>2363.6</v>
      </c>
      <c r="AD47" s="7">
        <v>0</v>
      </c>
      <c r="AE47" s="11">
        <v>152</v>
      </c>
      <c r="AF47" s="11">
        <v>0</v>
      </c>
      <c r="AG47" s="11">
        <v>152</v>
      </c>
      <c r="AH47" s="11">
        <v>2363.6</v>
      </c>
      <c r="AI47" s="7">
        <v>0</v>
      </c>
      <c r="AJ47" s="11">
        <v>152</v>
      </c>
      <c r="AK47" s="11">
        <v>0</v>
      </c>
      <c r="AL47" s="11">
        <v>152</v>
      </c>
      <c r="AM47" s="11">
        <v>2363.6</v>
      </c>
      <c r="AN47" s="7">
        <v>0</v>
      </c>
      <c r="AO47" s="11">
        <v>152</v>
      </c>
      <c r="AP47" s="11">
        <v>0</v>
      </c>
      <c r="AQ47" s="11">
        <v>152</v>
      </c>
      <c r="AR47" s="11">
        <v>2363.6</v>
      </c>
      <c r="AS47" s="7">
        <v>0</v>
      </c>
    </row>
  </sheetData>
  <mergeCells count="13">
    <mergeCell ref="AE2:AI2"/>
    <mergeCell ref="AJ2:AN2"/>
    <mergeCell ref="AO2:AS2"/>
    <mergeCell ref="A1:AS1"/>
    <mergeCell ref="A2:A3"/>
    <mergeCell ref="B2:B3"/>
    <mergeCell ref="C2:C3"/>
    <mergeCell ref="D2:D3"/>
    <mergeCell ref="E2:H2"/>
    <mergeCell ref="I2:O2"/>
    <mergeCell ref="P2:T2"/>
    <mergeCell ref="U2:Y2"/>
    <mergeCell ref="Z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2026-02-28T20:07:26Z</dcterms:created>
  <dcterms:modified xsi:type="dcterms:W3CDTF">2026-03-05T22:30:01Z</dcterms:modified>
</cp:coreProperties>
</file>